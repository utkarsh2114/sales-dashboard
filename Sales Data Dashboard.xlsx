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nup\OneDrive\Desktop\"/>
    </mc:Choice>
  </mc:AlternateContent>
  <xr:revisionPtr revIDLastSave="0" documentId="13_ncr:1_{A1810CE1-B306-4DF8-81DE-79C4087F7F0D}" xr6:coauthVersionLast="47" xr6:coauthVersionMax="47" xr10:uidLastSave="{00000000-0000-0000-0000-000000000000}"/>
  <bookViews>
    <workbookView xWindow="-120" yWindow="-120" windowWidth="20730" windowHeight="11040" activeTab="2" xr2:uid="{EE425478-A4ED-4BC6-B5E9-6AEDE653595D}"/>
  </bookViews>
  <sheets>
    <sheet name="Pivot" sheetId="2" r:id="rId1"/>
    <sheet name="Sales_Data" sheetId="1" r:id="rId2"/>
    <sheet name="Dashboard" sheetId="3" r:id="rId3"/>
  </sheets>
  <definedNames>
    <definedName name="Slicer_Category1">#N/A</definedName>
    <definedName name="Slicer_Product1">#N/A</definedName>
    <definedName name="Slicer_Region">#N/A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1" i="1" l="1"/>
  <c r="G101" i="1"/>
  <c r="H100" i="1"/>
  <c r="G100" i="1"/>
  <c r="H99" i="1"/>
  <c r="G99" i="1"/>
  <c r="H98" i="1"/>
  <c r="G98" i="1"/>
  <c r="H97" i="1"/>
  <c r="G97" i="1"/>
  <c r="H96" i="1"/>
  <c r="G96" i="1"/>
  <c r="H95" i="1"/>
  <c r="G95" i="1"/>
  <c r="H94" i="1"/>
  <c r="G94" i="1"/>
  <c r="H93" i="1"/>
  <c r="G93" i="1"/>
  <c r="H92" i="1"/>
  <c r="G92" i="1"/>
  <c r="H91" i="1"/>
  <c r="G91" i="1"/>
  <c r="H90" i="1"/>
  <c r="G90" i="1"/>
  <c r="H89" i="1"/>
  <c r="G89" i="1"/>
  <c r="H88" i="1"/>
  <c r="G88" i="1"/>
  <c r="H87" i="1"/>
  <c r="G87" i="1"/>
  <c r="H86" i="1"/>
  <c r="G86" i="1"/>
  <c r="H85" i="1"/>
  <c r="G85" i="1"/>
  <c r="H84" i="1"/>
  <c r="G84" i="1"/>
  <c r="H83" i="1"/>
  <c r="G83" i="1"/>
  <c r="H82" i="1"/>
  <c r="G82" i="1"/>
  <c r="H81" i="1"/>
  <c r="G81" i="1"/>
  <c r="H80" i="1"/>
  <c r="G80" i="1"/>
  <c r="H79" i="1"/>
  <c r="G79" i="1"/>
  <c r="H78" i="1"/>
  <c r="G78" i="1"/>
  <c r="H77" i="1"/>
  <c r="G77" i="1"/>
  <c r="H76" i="1"/>
  <c r="G76" i="1"/>
  <c r="H75" i="1"/>
  <c r="G75" i="1"/>
  <c r="H74" i="1"/>
  <c r="G74" i="1"/>
  <c r="H73" i="1"/>
  <c r="G73" i="1"/>
  <c r="H72" i="1"/>
  <c r="G72" i="1"/>
  <c r="H71" i="1"/>
  <c r="G71" i="1"/>
  <c r="H70" i="1"/>
  <c r="G70" i="1"/>
  <c r="H69" i="1"/>
  <c r="G69" i="1"/>
  <c r="H68" i="1"/>
  <c r="G68" i="1"/>
  <c r="H67" i="1"/>
  <c r="G67" i="1"/>
  <c r="H66" i="1"/>
  <c r="G66" i="1"/>
  <c r="H65" i="1"/>
  <c r="G65" i="1"/>
  <c r="H64" i="1"/>
  <c r="G64" i="1"/>
  <c r="H63" i="1"/>
  <c r="G63" i="1"/>
  <c r="H62" i="1"/>
  <c r="G62" i="1"/>
  <c r="H61" i="1"/>
  <c r="G61" i="1"/>
  <c r="H60" i="1"/>
  <c r="G60" i="1"/>
  <c r="H59" i="1"/>
  <c r="G59" i="1"/>
  <c r="H58" i="1"/>
  <c r="G58" i="1"/>
  <c r="H57" i="1"/>
  <c r="G57" i="1"/>
  <c r="H56" i="1"/>
  <c r="G56" i="1"/>
  <c r="H55" i="1"/>
  <c r="G55" i="1"/>
  <c r="H54" i="1"/>
  <c r="G54" i="1"/>
  <c r="H53" i="1"/>
  <c r="G53" i="1"/>
  <c r="H52" i="1"/>
  <c r="G52" i="1"/>
  <c r="H51" i="1"/>
  <c r="G51" i="1"/>
  <c r="H50" i="1"/>
  <c r="G50" i="1"/>
  <c r="H49" i="1"/>
  <c r="G49" i="1"/>
  <c r="H48" i="1"/>
  <c r="G48" i="1"/>
  <c r="H47" i="1"/>
  <c r="G47" i="1"/>
  <c r="H46" i="1"/>
  <c r="G46" i="1"/>
  <c r="H45" i="1"/>
  <c r="G45" i="1"/>
  <c r="H44" i="1"/>
  <c r="G44" i="1"/>
  <c r="H43" i="1"/>
  <c r="G43" i="1"/>
  <c r="H42" i="1"/>
  <c r="G42" i="1"/>
  <c r="H41" i="1"/>
  <c r="G41" i="1"/>
  <c r="H40" i="1"/>
  <c r="G40" i="1"/>
  <c r="H39" i="1"/>
  <c r="G39" i="1"/>
  <c r="H38" i="1"/>
  <c r="G38" i="1"/>
  <c r="H37" i="1"/>
  <c r="G37" i="1"/>
  <c r="H36" i="1"/>
  <c r="G36" i="1"/>
  <c r="H35" i="1"/>
  <c r="G35" i="1"/>
  <c r="H34" i="1"/>
  <c r="G34" i="1"/>
  <c r="H33" i="1"/>
  <c r="G33" i="1"/>
  <c r="H32" i="1"/>
  <c r="G32" i="1"/>
  <c r="H31" i="1"/>
  <c r="G31" i="1"/>
  <c r="H30" i="1"/>
  <c r="G30" i="1"/>
  <c r="H29" i="1"/>
  <c r="G29" i="1"/>
  <c r="H28" i="1"/>
  <c r="G28" i="1"/>
  <c r="H27" i="1"/>
  <c r="G27" i="1"/>
  <c r="H26" i="1"/>
  <c r="G26" i="1"/>
  <c r="H25" i="1"/>
  <c r="G25" i="1"/>
  <c r="H24" i="1"/>
  <c r="G24" i="1"/>
  <c r="H23" i="1"/>
  <c r="G23" i="1"/>
  <c r="H22" i="1"/>
  <c r="G22" i="1"/>
  <c r="H21" i="1"/>
  <c r="G21" i="1"/>
  <c r="H20" i="1"/>
  <c r="G20" i="1"/>
  <c r="H19" i="1"/>
  <c r="G19" i="1"/>
  <c r="H18" i="1"/>
  <c r="G18" i="1"/>
  <c r="H17" i="1"/>
  <c r="G17" i="1"/>
  <c r="H16" i="1"/>
  <c r="G16" i="1"/>
  <c r="H15" i="1"/>
  <c r="G15" i="1"/>
  <c r="H14" i="1"/>
  <c r="G14" i="1"/>
  <c r="H13" i="1"/>
  <c r="G13" i="1"/>
  <c r="H12" i="1"/>
  <c r="G12" i="1"/>
  <c r="H11" i="1"/>
  <c r="G11" i="1"/>
  <c r="H10" i="1"/>
  <c r="G10" i="1"/>
  <c r="H9" i="1"/>
  <c r="G9" i="1"/>
  <c r="H8" i="1"/>
  <c r="G8" i="1"/>
  <c r="H7" i="1"/>
  <c r="G7" i="1"/>
  <c r="H6" i="1"/>
  <c r="G6" i="1"/>
  <c r="H5" i="1"/>
  <c r="G5" i="1"/>
  <c r="H4" i="1"/>
  <c r="G4" i="1"/>
  <c r="H3" i="1"/>
  <c r="G3" i="1"/>
  <c r="H2" i="1"/>
  <c r="G2" i="1"/>
  <c r="G2" i="3"/>
  <c r="B2" i="3"/>
</calcChain>
</file>

<file path=xl/sharedStrings.xml><?xml version="1.0" encoding="utf-8"?>
<sst xmlns="http://schemas.openxmlformats.org/spreadsheetml/2006/main" count="340" uniqueCount="34">
  <si>
    <t>Laptop</t>
  </si>
  <si>
    <t>Electronics</t>
  </si>
  <si>
    <t>North</t>
  </si>
  <si>
    <t>Phone</t>
  </si>
  <si>
    <t>South</t>
  </si>
  <si>
    <t>Chair</t>
  </si>
  <si>
    <t>Furniture</t>
  </si>
  <si>
    <t>East</t>
  </si>
  <si>
    <t>Table</t>
  </si>
  <si>
    <t>West</t>
  </si>
  <si>
    <t>Headphones</t>
  </si>
  <si>
    <t>Accessories</t>
  </si>
  <si>
    <t>Date</t>
  </si>
  <si>
    <t>Product</t>
  </si>
  <si>
    <t>Category</t>
  </si>
  <si>
    <t>Region</t>
  </si>
  <si>
    <t>Quantity</t>
  </si>
  <si>
    <t>Unit Price</t>
  </si>
  <si>
    <t xml:space="preserve">Sales </t>
  </si>
  <si>
    <t>Month</t>
  </si>
  <si>
    <t xml:space="preserve">Sum of Sales </t>
  </si>
  <si>
    <t>Row Labels</t>
  </si>
  <si>
    <t>Grand Total</t>
  </si>
  <si>
    <t>Apr-2026</t>
  </si>
  <si>
    <t>Feb-2026</t>
  </si>
  <si>
    <t>Jan-2026</t>
  </si>
  <si>
    <t>Mar-2026</t>
  </si>
  <si>
    <t>TOTAL SALES</t>
  </si>
  <si>
    <t>Total Orders</t>
  </si>
  <si>
    <t>TOTAL ORDERS</t>
  </si>
  <si>
    <t>Sales By Catagory</t>
  </si>
  <si>
    <t>Sales By Region</t>
  </si>
  <si>
    <t>Monthly Sales Trend</t>
  </si>
  <si>
    <t>Top Selling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</si>
</sst>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sz val="28"/>
      <color theme="0"/>
      <name val="Calibri"/>
      <family val="2"/>
      <scheme val="minor"/>
    </font>
    <font>
      <b/>
      <sz val="28"/>
      <color theme="0"/>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14" fontId="0" fillId="0" borderId="0" xfId="0" applyNumberFormat="1" applyAlignment="1">
      <alignment horizontal="left"/>
    </xf>
    <xf numFmtId="0" fontId="0" fillId="0" borderId="0" xfId="0" applyAlignment="1">
      <alignment horizontal="left"/>
    </xf>
    <xf numFmtId="0" fontId="0" fillId="0" borderId="0" xfId="0" pivotButton="1"/>
    <xf numFmtId="4" fontId="0" fillId="0" borderId="0" xfId="0" applyNumberFormat="1"/>
    <xf numFmtId="0" fontId="3" fillId="3" borderId="0" xfId="0" applyFont="1" applyFill="1" applyAlignment="1">
      <alignment vertical="center"/>
    </xf>
    <xf numFmtId="0" fontId="1" fillId="4" borderId="0" xfId="0" applyFont="1" applyFill="1" applyAlignment="1">
      <alignment horizont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0" fillId="0" borderId="0" xfId="0" applyNumberFormat="1"/>
  </cellXfs>
  <cellStyles count="1">
    <cellStyle name="Normal" xfId="0" builtinId="0"/>
  </cellStyles>
  <dxfs count="16">
    <dxf>
      <numFmt numFmtId="0" formatCode="General"/>
    </dxf>
    <dxf>
      <numFmt numFmtId="4" formatCode="#,##0.00"/>
    </dxf>
    <dxf>
      <numFmt numFmtId="0" formatCode="General"/>
    </dxf>
    <dxf>
      <numFmt numFmtId="4" formatCode="#,##0.0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alignment horizontal="left" vertical="bottom" textRotation="0" wrapText="0" indent="0" justifyLastLine="0" shrinkToFit="0" readingOrder="0"/>
    </dxf>
    <dxf>
      <font>
        <b val="0"/>
      </font>
      <alignment horizontal="center" vertical="bottom" textRotation="0" wrapText="0" indent="0" justifyLastLine="0" shrinkToFit="0" readingOrder="0"/>
    </dxf>
    <dxf>
      <numFmt numFmtId="4"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Pivot!$A$1</c:f>
              <c:strCache>
                <c:ptCount val="1"/>
                <c:pt idx="0">
                  <c:v>Total</c:v>
                </c:pt>
              </c:strCache>
            </c:strRef>
          </c:tx>
          <c:spPr>
            <a:solidFill>
              <a:schemeClr val="accent1"/>
            </a:solidFill>
            <a:ln>
              <a:noFill/>
            </a:ln>
            <a:effectLst/>
          </c:spPr>
          <c:invertIfNegative val="0"/>
          <c:cat>
            <c:strRef>
              <c:f>Pivot!$A$2</c:f>
              <c:strCache>
                <c:ptCount val="1"/>
                <c:pt idx="0">
                  <c:v>Total</c:v>
                </c:pt>
              </c:strCache>
            </c:strRef>
          </c:cat>
          <c:val>
            <c:numRef>
              <c:f>Pivot!$A$2</c:f>
              <c:numCache>
                <c:formatCode>#,##0.00</c:formatCode>
                <c:ptCount val="1"/>
                <c:pt idx="0">
                  <c:v>4611400</c:v>
                </c:pt>
              </c:numCache>
            </c:numRef>
          </c:val>
          <c:extLst>
            <c:ext xmlns:c16="http://schemas.microsoft.com/office/drawing/2014/chart" uri="{C3380CC4-5D6E-409C-BE32-E72D297353CC}">
              <c16:uniqueId val="{00000000-9C6A-4C3E-ACD4-20D3BDC9179E}"/>
            </c:ext>
          </c:extLst>
        </c:ser>
        <c:dLbls>
          <c:showLegendKey val="0"/>
          <c:showVal val="0"/>
          <c:showCatName val="0"/>
          <c:showSerName val="0"/>
          <c:showPercent val="0"/>
          <c:showBubbleSize val="0"/>
        </c:dLbls>
        <c:gapWidth val="219"/>
        <c:overlap val="-27"/>
        <c:axId val="1089187008"/>
        <c:axId val="1089203808"/>
      </c:barChart>
      <c:catAx>
        <c:axId val="108918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203808"/>
        <c:crosses val="autoZero"/>
        <c:auto val="1"/>
        <c:lblAlgn val="ctr"/>
        <c:lblOffset val="100"/>
        <c:noMultiLvlLbl val="0"/>
      </c:catAx>
      <c:valAx>
        <c:axId val="10892038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18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c:f>
              <c:strCache>
                <c:ptCount val="1"/>
                <c:pt idx="0">
                  <c:v>Total</c:v>
                </c:pt>
              </c:strCache>
            </c:strRef>
          </c:tx>
          <c:spPr>
            <a:solidFill>
              <a:schemeClr val="accent1"/>
            </a:solidFill>
            <a:ln>
              <a:noFill/>
            </a:ln>
            <a:effectLst/>
          </c:spPr>
          <c:invertIfNegative val="0"/>
          <c:cat>
            <c:strRef>
              <c:f>Pivot!$A$5:$A$8</c:f>
              <c:strCache>
                <c:ptCount val="3"/>
                <c:pt idx="0">
                  <c:v>Accessories</c:v>
                </c:pt>
                <c:pt idx="1">
                  <c:v>Electronics</c:v>
                </c:pt>
                <c:pt idx="2">
                  <c:v>Furniture</c:v>
                </c:pt>
              </c:strCache>
            </c:strRef>
          </c:cat>
          <c:val>
            <c:numRef>
              <c:f>Pivot!$B$5:$B$8</c:f>
              <c:numCache>
                <c:formatCode>General</c:formatCode>
                <c:ptCount val="3"/>
                <c:pt idx="0">
                  <c:v>380350</c:v>
                </c:pt>
                <c:pt idx="1">
                  <c:v>3456700</c:v>
                </c:pt>
                <c:pt idx="2">
                  <c:v>774350</c:v>
                </c:pt>
              </c:numCache>
            </c:numRef>
          </c:val>
          <c:extLst>
            <c:ext xmlns:c16="http://schemas.microsoft.com/office/drawing/2014/chart" uri="{C3380CC4-5D6E-409C-BE32-E72D297353CC}">
              <c16:uniqueId val="{00000000-3A11-4165-B61D-57C1153B8524}"/>
            </c:ext>
          </c:extLst>
        </c:ser>
        <c:dLbls>
          <c:showLegendKey val="0"/>
          <c:showVal val="0"/>
          <c:showCatName val="0"/>
          <c:showSerName val="0"/>
          <c:showPercent val="0"/>
          <c:showBubbleSize val="0"/>
        </c:dLbls>
        <c:gapWidth val="219"/>
        <c:overlap val="-27"/>
        <c:axId val="1089204768"/>
        <c:axId val="1089209088"/>
      </c:barChart>
      <c:catAx>
        <c:axId val="108920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209088"/>
        <c:crosses val="autoZero"/>
        <c:auto val="1"/>
        <c:lblAlgn val="ctr"/>
        <c:lblOffset val="100"/>
        <c:noMultiLvlLbl val="0"/>
      </c:catAx>
      <c:valAx>
        <c:axId val="108920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20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c:f>
              <c:strCache>
                <c:ptCount val="1"/>
                <c:pt idx="0">
                  <c:v>Total</c:v>
                </c:pt>
              </c:strCache>
            </c:strRef>
          </c:tx>
          <c:spPr>
            <a:solidFill>
              <a:schemeClr val="accent1"/>
            </a:solidFill>
            <a:ln>
              <a:noFill/>
            </a:ln>
            <a:effectLst/>
          </c:spPr>
          <c:invertIfNegative val="0"/>
          <c:cat>
            <c:strRef>
              <c:f>Pivot!$A$11:$A$15</c:f>
              <c:strCache>
                <c:ptCount val="4"/>
                <c:pt idx="0">
                  <c:v>East</c:v>
                </c:pt>
                <c:pt idx="1">
                  <c:v>North</c:v>
                </c:pt>
                <c:pt idx="2">
                  <c:v>South</c:v>
                </c:pt>
                <c:pt idx="3">
                  <c:v>West</c:v>
                </c:pt>
              </c:strCache>
            </c:strRef>
          </c:cat>
          <c:val>
            <c:numRef>
              <c:f>Pivot!$B$11:$B$15</c:f>
              <c:numCache>
                <c:formatCode>General</c:formatCode>
                <c:ptCount val="4"/>
                <c:pt idx="0">
                  <c:v>1252700</c:v>
                </c:pt>
                <c:pt idx="1">
                  <c:v>1316800</c:v>
                </c:pt>
                <c:pt idx="2">
                  <c:v>965000</c:v>
                </c:pt>
                <c:pt idx="3">
                  <c:v>1076900</c:v>
                </c:pt>
              </c:numCache>
            </c:numRef>
          </c:val>
          <c:extLst>
            <c:ext xmlns:c16="http://schemas.microsoft.com/office/drawing/2014/chart" uri="{C3380CC4-5D6E-409C-BE32-E72D297353CC}">
              <c16:uniqueId val="{00000000-F04F-45ED-BA70-F4D838F0F860}"/>
            </c:ext>
          </c:extLst>
        </c:ser>
        <c:dLbls>
          <c:showLegendKey val="0"/>
          <c:showVal val="0"/>
          <c:showCatName val="0"/>
          <c:showSerName val="0"/>
          <c:showPercent val="0"/>
          <c:showBubbleSize val="0"/>
        </c:dLbls>
        <c:gapWidth val="219"/>
        <c:overlap val="-27"/>
        <c:axId val="1406935488"/>
        <c:axId val="1406937408"/>
      </c:barChart>
      <c:catAx>
        <c:axId val="14069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37408"/>
        <c:crosses val="autoZero"/>
        <c:auto val="1"/>
        <c:lblAlgn val="ctr"/>
        <c:lblOffset val="100"/>
        <c:noMultiLvlLbl val="0"/>
      </c:catAx>
      <c:valAx>
        <c:axId val="140693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3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Pivot!$B$17</c:f>
              <c:strCache>
                <c:ptCount val="1"/>
                <c:pt idx="0">
                  <c:v>Total</c:v>
                </c:pt>
              </c:strCache>
            </c:strRef>
          </c:tx>
          <c:spPr>
            <a:solidFill>
              <a:schemeClr val="accent1"/>
            </a:solidFill>
            <a:ln>
              <a:noFill/>
            </a:ln>
            <a:effectLst/>
          </c:spPr>
          <c:invertIfNegative val="0"/>
          <c:cat>
            <c:strRef>
              <c:f>Pivot!$A$18:$A$22</c:f>
              <c:strCache>
                <c:ptCount val="4"/>
                <c:pt idx="0">
                  <c:v>Apr-2026</c:v>
                </c:pt>
                <c:pt idx="1">
                  <c:v>Feb-2026</c:v>
                </c:pt>
                <c:pt idx="2">
                  <c:v>Jan-2026</c:v>
                </c:pt>
                <c:pt idx="3">
                  <c:v>Mar-2026</c:v>
                </c:pt>
              </c:strCache>
            </c:strRef>
          </c:cat>
          <c:val>
            <c:numRef>
              <c:f>Pivot!$B$18:$B$22</c:f>
              <c:numCache>
                <c:formatCode>General</c:formatCode>
                <c:ptCount val="4"/>
                <c:pt idx="0">
                  <c:v>476950</c:v>
                </c:pt>
                <c:pt idx="1">
                  <c:v>1360900</c:v>
                </c:pt>
                <c:pt idx="2">
                  <c:v>1420100</c:v>
                </c:pt>
                <c:pt idx="3">
                  <c:v>1353450</c:v>
                </c:pt>
              </c:numCache>
            </c:numRef>
          </c:val>
          <c:extLst>
            <c:ext xmlns:c16="http://schemas.microsoft.com/office/drawing/2014/chart" uri="{C3380CC4-5D6E-409C-BE32-E72D297353CC}">
              <c16:uniqueId val="{00000000-B8B3-4378-9BB6-E44619F2A3C4}"/>
            </c:ext>
          </c:extLst>
        </c:ser>
        <c:dLbls>
          <c:showLegendKey val="0"/>
          <c:showVal val="0"/>
          <c:showCatName val="0"/>
          <c:showSerName val="0"/>
          <c:showPercent val="0"/>
          <c:showBubbleSize val="0"/>
        </c:dLbls>
        <c:gapWidth val="219"/>
        <c:overlap val="-27"/>
        <c:axId val="1440010016"/>
        <c:axId val="1440010976"/>
      </c:barChart>
      <c:catAx>
        <c:axId val="144001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010976"/>
        <c:crosses val="autoZero"/>
        <c:auto val="1"/>
        <c:lblAlgn val="ctr"/>
        <c:lblOffset val="100"/>
        <c:noMultiLvlLbl val="0"/>
      </c:catAx>
      <c:valAx>
        <c:axId val="144001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01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Pivot!$B$24</c:f>
              <c:strCache>
                <c:ptCount val="1"/>
                <c:pt idx="0">
                  <c:v>Total</c:v>
                </c:pt>
              </c:strCache>
            </c:strRef>
          </c:tx>
          <c:spPr>
            <a:solidFill>
              <a:schemeClr val="accent1"/>
            </a:solidFill>
            <a:ln>
              <a:noFill/>
            </a:ln>
            <a:effectLst/>
          </c:spPr>
          <c:invertIfNegative val="0"/>
          <c:cat>
            <c:strRef>
              <c:f>Pivot!$A$25:$A$30</c:f>
              <c:strCache>
                <c:ptCount val="5"/>
                <c:pt idx="0">
                  <c:v>Chair</c:v>
                </c:pt>
                <c:pt idx="1">
                  <c:v>Headphones</c:v>
                </c:pt>
                <c:pt idx="2">
                  <c:v>Laptop</c:v>
                </c:pt>
                <c:pt idx="3">
                  <c:v>Phone</c:v>
                </c:pt>
                <c:pt idx="4">
                  <c:v>Table</c:v>
                </c:pt>
              </c:strCache>
            </c:strRef>
          </c:cat>
          <c:val>
            <c:numRef>
              <c:f>Pivot!$B$25:$B$30</c:f>
              <c:numCache>
                <c:formatCode>General</c:formatCode>
                <c:ptCount val="5"/>
                <c:pt idx="0">
                  <c:v>314500</c:v>
                </c:pt>
                <c:pt idx="1">
                  <c:v>278350</c:v>
                </c:pt>
                <c:pt idx="2">
                  <c:v>1804500</c:v>
                </c:pt>
                <c:pt idx="3">
                  <c:v>1754200</c:v>
                </c:pt>
                <c:pt idx="4">
                  <c:v>459850</c:v>
                </c:pt>
              </c:numCache>
            </c:numRef>
          </c:val>
          <c:extLst>
            <c:ext xmlns:c16="http://schemas.microsoft.com/office/drawing/2014/chart" uri="{C3380CC4-5D6E-409C-BE32-E72D297353CC}">
              <c16:uniqueId val="{00000000-917A-4821-89E9-22B5754EF04E}"/>
            </c:ext>
          </c:extLst>
        </c:ser>
        <c:dLbls>
          <c:showLegendKey val="0"/>
          <c:showVal val="0"/>
          <c:showCatName val="0"/>
          <c:showSerName val="0"/>
          <c:showPercent val="0"/>
          <c:showBubbleSize val="0"/>
        </c:dLbls>
        <c:gapWidth val="219"/>
        <c:overlap val="-27"/>
        <c:axId val="98602096"/>
        <c:axId val="98586736"/>
      </c:barChart>
      <c:catAx>
        <c:axId val="9860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6736"/>
        <c:crosses val="autoZero"/>
        <c:auto val="1"/>
        <c:lblAlgn val="ctr"/>
        <c:lblOffset val="100"/>
        <c:noMultiLvlLbl val="0"/>
      </c:catAx>
      <c:valAx>
        <c:axId val="9858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D2-4E87-B9BA-829D5C8CD5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D2-4E87-B9BA-829D5C8CD5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D2-4E87-B9BA-829D5C8CD5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D2-4E87-B9BA-829D5C8CD595}"/>
              </c:ext>
            </c:extLst>
          </c:dPt>
          <c:cat>
            <c:strRef>
              <c:f>Pivot!$A$11:$A$15</c:f>
              <c:strCache>
                <c:ptCount val="4"/>
                <c:pt idx="0">
                  <c:v>East</c:v>
                </c:pt>
                <c:pt idx="1">
                  <c:v>North</c:v>
                </c:pt>
                <c:pt idx="2">
                  <c:v>South</c:v>
                </c:pt>
                <c:pt idx="3">
                  <c:v>West</c:v>
                </c:pt>
              </c:strCache>
            </c:strRef>
          </c:cat>
          <c:val>
            <c:numRef>
              <c:f>Pivot!$B$11:$B$15</c:f>
              <c:numCache>
                <c:formatCode>General</c:formatCode>
                <c:ptCount val="4"/>
                <c:pt idx="0">
                  <c:v>1252700</c:v>
                </c:pt>
                <c:pt idx="1">
                  <c:v>1316800</c:v>
                </c:pt>
                <c:pt idx="2">
                  <c:v>965000</c:v>
                </c:pt>
                <c:pt idx="3">
                  <c:v>1076900</c:v>
                </c:pt>
              </c:numCache>
            </c:numRef>
          </c:val>
          <c:extLst>
            <c:ext xmlns:c16="http://schemas.microsoft.com/office/drawing/2014/chart" uri="{C3380CC4-5D6E-409C-BE32-E72D297353CC}">
              <c16:uniqueId val="{00000000-2F85-44E4-B80B-313DF328F2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Pivot!$B$4</c:f>
              <c:strCache>
                <c:ptCount val="1"/>
                <c:pt idx="0">
                  <c:v>Total</c:v>
                </c:pt>
              </c:strCache>
            </c:strRef>
          </c:tx>
          <c:spPr>
            <a:solidFill>
              <a:schemeClr val="accent1"/>
            </a:solidFill>
            <a:ln>
              <a:noFill/>
            </a:ln>
            <a:effectLst/>
            <a:sp3d/>
          </c:spPr>
          <c:invertIfNegative val="0"/>
          <c:cat>
            <c:strRef>
              <c:f>Pivot!$A$5:$A$8</c:f>
              <c:strCache>
                <c:ptCount val="3"/>
                <c:pt idx="0">
                  <c:v>Accessories</c:v>
                </c:pt>
                <c:pt idx="1">
                  <c:v>Electronics</c:v>
                </c:pt>
                <c:pt idx="2">
                  <c:v>Furniture</c:v>
                </c:pt>
              </c:strCache>
            </c:strRef>
          </c:cat>
          <c:val>
            <c:numRef>
              <c:f>Pivot!$B$5:$B$8</c:f>
              <c:numCache>
                <c:formatCode>General</c:formatCode>
                <c:ptCount val="3"/>
                <c:pt idx="0">
                  <c:v>380350</c:v>
                </c:pt>
                <c:pt idx="1">
                  <c:v>3456700</c:v>
                </c:pt>
                <c:pt idx="2">
                  <c:v>774350</c:v>
                </c:pt>
              </c:numCache>
            </c:numRef>
          </c:val>
          <c:extLst>
            <c:ext xmlns:c16="http://schemas.microsoft.com/office/drawing/2014/chart" uri="{C3380CC4-5D6E-409C-BE32-E72D297353CC}">
              <c16:uniqueId val="{00000000-5089-4430-B5F4-F9CF3FAEC5DD}"/>
            </c:ext>
          </c:extLst>
        </c:ser>
        <c:dLbls>
          <c:showLegendKey val="0"/>
          <c:showVal val="0"/>
          <c:showCatName val="0"/>
          <c:showSerName val="0"/>
          <c:showPercent val="0"/>
          <c:showBubbleSize val="0"/>
        </c:dLbls>
        <c:gapWidth val="150"/>
        <c:shape val="box"/>
        <c:axId val="98623216"/>
        <c:axId val="98627536"/>
        <c:axId val="0"/>
      </c:bar3DChart>
      <c:catAx>
        <c:axId val="9862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27536"/>
        <c:crosses val="autoZero"/>
        <c:auto val="1"/>
        <c:lblAlgn val="ctr"/>
        <c:lblOffset val="100"/>
        <c:noMultiLvlLbl val="0"/>
      </c:catAx>
      <c:valAx>
        <c:axId val="9862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2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c:f>
              <c:strCache>
                <c:ptCount val="1"/>
                <c:pt idx="0">
                  <c:v>Total</c:v>
                </c:pt>
              </c:strCache>
            </c:strRef>
          </c:tx>
          <c:spPr>
            <a:ln w="28575" cap="rnd">
              <a:solidFill>
                <a:schemeClr val="accent1"/>
              </a:solidFill>
              <a:round/>
            </a:ln>
            <a:effectLst/>
          </c:spPr>
          <c:marker>
            <c:symbol val="none"/>
          </c:marker>
          <c:cat>
            <c:strRef>
              <c:f>Pivot!$A$18:$A$22</c:f>
              <c:strCache>
                <c:ptCount val="4"/>
                <c:pt idx="0">
                  <c:v>Apr-2026</c:v>
                </c:pt>
                <c:pt idx="1">
                  <c:v>Feb-2026</c:v>
                </c:pt>
                <c:pt idx="2">
                  <c:v>Jan-2026</c:v>
                </c:pt>
                <c:pt idx="3">
                  <c:v>Mar-2026</c:v>
                </c:pt>
              </c:strCache>
            </c:strRef>
          </c:cat>
          <c:val>
            <c:numRef>
              <c:f>Pivot!$B$18:$B$22</c:f>
              <c:numCache>
                <c:formatCode>General</c:formatCode>
                <c:ptCount val="4"/>
                <c:pt idx="0">
                  <c:v>476950</c:v>
                </c:pt>
                <c:pt idx="1">
                  <c:v>1360900</c:v>
                </c:pt>
                <c:pt idx="2">
                  <c:v>1420100</c:v>
                </c:pt>
                <c:pt idx="3">
                  <c:v>1353450</c:v>
                </c:pt>
              </c:numCache>
            </c:numRef>
          </c:val>
          <c:smooth val="0"/>
          <c:extLst>
            <c:ext xmlns:c16="http://schemas.microsoft.com/office/drawing/2014/chart" uri="{C3380CC4-5D6E-409C-BE32-E72D297353CC}">
              <c16:uniqueId val="{00000000-1B8F-4A2A-8979-48178853D65F}"/>
            </c:ext>
          </c:extLst>
        </c:ser>
        <c:dLbls>
          <c:showLegendKey val="0"/>
          <c:showVal val="0"/>
          <c:showCatName val="0"/>
          <c:showSerName val="0"/>
          <c:showPercent val="0"/>
          <c:showBubbleSize val="0"/>
        </c:dLbls>
        <c:smooth val="0"/>
        <c:axId val="98624176"/>
        <c:axId val="98628976"/>
      </c:lineChart>
      <c:catAx>
        <c:axId val="9862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28976"/>
        <c:crosses val="autoZero"/>
        <c:auto val="1"/>
        <c:lblAlgn val="ctr"/>
        <c:lblOffset val="100"/>
        <c:noMultiLvlLbl val="0"/>
      </c:catAx>
      <c:valAx>
        <c:axId val="9862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2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Pivot!$B$24</c:f>
              <c:strCache>
                <c:ptCount val="1"/>
                <c:pt idx="0">
                  <c:v>Total</c:v>
                </c:pt>
              </c:strCache>
            </c:strRef>
          </c:tx>
          <c:spPr>
            <a:solidFill>
              <a:schemeClr val="accent1"/>
            </a:solidFill>
            <a:ln>
              <a:noFill/>
            </a:ln>
            <a:effectLst/>
            <a:sp3d/>
          </c:spPr>
          <c:invertIfNegative val="0"/>
          <c:cat>
            <c:strRef>
              <c:f>Pivot!$A$25:$A$30</c:f>
              <c:strCache>
                <c:ptCount val="5"/>
                <c:pt idx="0">
                  <c:v>Chair</c:v>
                </c:pt>
                <c:pt idx="1">
                  <c:v>Headphones</c:v>
                </c:pt>
                <c:pt idx="2">
                  <c:v>Laptop</c:v>
                </c:pt>
                <c:pt idx="3">
                  <c:v>Phone</c:v>
                </c:pt>
                <c:pt idx="4">
                  <c:v>Table</c:v>
                </c:pt>
              </c:strCache>
            </c:strRef>
          </c:cat>
          <c:val>
            <c:numRef>
              <c:f>Pivot!$B$25:$B$30</c:f>
              <c:numCache>
                <c:formatCode>General</c:formatCode>
                <c:ptCount val="5"/>
                <c:pt idx="0">
                  <c:v>314500</c:v>
                </c:pt>
                <c:pt idx="1">
                  <c:v>278350</c:v>
                </c:pt>
                <c:pt idx="2">
                  <c:v>1804500</c:v>
                </c:pt>
                <c:pt idx="3">
                  <c:v>1754200</c:v>
                </c:pt>
                <c:pt idx="4">
                  <c:v>459850</c:v>
                </c:pt>
              </c:numCache>
            </c:numRef>
          </c:val>
          <c:extLst>
            <c:ext xmlns:c16="http://schemas.microsoft.com/office/drawing/2014/chart" uri="{C3380CC4-5D6E-409C-BE32-E72D297353CC}">
              <c16:uniqueId val="{00000000-16B8-445D-BE21-FF8EE62ECB12}"/>
            </c:ext>
          </c:extLst>
        </c:ser>
        <c:dLbls>
          <c:showLegendKey val="0"/>
          <c:showVal val="0"/>
          <c:showCatName val="0"/>
          <c:showSerName val="0"/>
          <c:showPercent val="0"/>
          <c:showBubbleSize val="0"/>
        </c:dLbls>
        <c:gapWidth val="150"/>
        <c:shape val="box"/>
        <c:axId val="98630896"/>
        <c:axId val="98620816"/>
        <c:axId val="0"/>
      </c:bar3DChart>
      <c:catAx>
        <c:axId val="98630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20816"/>
        <c:crosses val="autoZero"/>
        <c:auto val="1"/>
        <c:lblAlgn val="ctr"/>
        <c:lblOffset val="100"/>
        <c:noMultiLvlLbl val="0"/>
      </c:catAx>
      <c:valAx>
        <c:axId val="98620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3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Pivot!$A$50</c:f>
              <c:strCache>
                <c:ptCount val="1"/>
                <c:pt idx="0">
                  <c:v>Total</c:v>
                </c:pt>
              </c:strCache>
            </c:strRef>
          </c:tx>
          <c:spPr>
            <a:solidFill>
              <a:schemeClr val="accent1"/>
            </a:solidFill>
            <a:ln>
              <a:noFill/>
            </a:ln>
            <a:effectLst/>
          </c:spPr>
          <c:invertIfNegative val="0"/>
          <c:cat>
            <c:strRef>
              <c:f>Pivot!$A$51</c:f>
              <c:strCache>
                <c:ptCount val="1"/>
                <c:pt idx="0">
                  <c:v>Total</c:v>
                </c:pt>
              </c:strCache>
            </c:strRef>
          </c:cat>
          <c:val>
            <c:numRef>
              <c:f>Pivot!$A$51</c:f>
              <c:numCache>
                <c:formatCode>General</c:formatCode>
                <c:ptCount val="1"/>
                <c:pt idx="0">
                  <c:v>100</c:v>
                </c:pt>
              </c:numCache>
            </c:numRef>
          </c:val>
          <c:extLst>
            <c:ext xmlns:c16="http://schemas.microsoft.com/office/drawing/2014/chart" uri="{C3380CC4-5D6E-409C-BE32-E72D297353CC}">
              <c16:uniqueId val="{00000000-A4E2-4143-A4DC-E8D5FE9923AF}"/>
            </c:ext>
          </c:extLst>
        </c:ser>
        <c:dLbls>
          <c:showLegendKey val="0"/>
          <c:showVal val="0"/>
          <c:showCatName val="0"/>
          <c:showSerName val="0"/>
          <c:showPercent val="0"/>
          <c:showBubbleSize val="0"/>
        </c:dLbls>
        <c:gapWidth val="219"/>
        <c:overlap val="-27"/>
        <c:axId val="102172288"/>
        <c:axId val="102173248"/>
      </c:barChart>
      <c:catAx>
        <c:axId val="10217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73248"/>
        <c:crosses val="autoZero"/>
        <c:auto val="1"/>
        <c:lblAlgn val="ctr"/>
        <c:lblOffset val="100"/>
        <c:noMultiLvlLbl val="0"/>
      </c:catAx>
      <c:valAx>
        <c:axId val="10217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7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Dashboard.xlsx]Pivot!PivotTable2</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Pivot!$A$5:$A$8</c:f>
              <c:strCache>
                <c:ptCount val="3"/>
                <c:pt idx="0">
                  <c:v>Accessories</c:v>
                </c:pt>
                <c:pt idx="1">
                  <c:v>Electronics</c:v>
                </c:pt>
                <c:pt idx="2">
                  <c:v>Furniture</c:v>
                </c:pt>
              </c:strCache>
            </c:strRef>
          </c:cat>
          <c:val>
            <c:numRef>
              <c:f>Pivot!$B$5:$B$8</c:f>
              <c:numCache>
                <c:formatCode>General</c:formatCode>
                <c:ptCount val="3"/>
                <c:pt idx="0">
                  <c:v>380350</c:v>
                </c:pt>
                <c:pt idx="1">
                  <c:v>3456700</c:v>
                </c:pt>
                <c:pt idx="2">
                  <c:v>774350</c:v>
                </c:pt>
              </c:numCache>
            </c:numRef>
          </c:val>
          <c:extLst>
            <c:ext xmlns:c16="http://schemas.microsoft.com/office/drawing/2014/chart" uri="{C3380CC4-5D6E-409C-BE32-E72D297353CC}">
              <c16:uniqueId val="{00000000-39E3-4F19-8108-29008E936F06}"/>
            </c:ext>
          </c:extLst>
        </c:ser>
        <c:dLbls>
          <c:showLegendKey val="0"/>
          <c:showVal val="0"/>
          <c:showCatName val="0"/>
          <c:showSerName val="0"/>
          <c:showPercent val="0"/>
          <c:showBubbleSize val="0"/>
        </c:dLbls>
        <c:gapWidth val="150"/>
        <c:shape val="box"/>
        <c:axId val="98623216"/>
        <c:axId val="98627536"/>
        <c:axId val="0"/>
      </c:bar3DChart>
      <c:catAx>
        <c:axId val="986232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27536"/>
        <c:crosses val="autoZero"/>
        <c:auto val="1"/>
        <c:lblAlgn val="ctr"/>
        <c:lblOffset val="100"/>
        <c:noMultiLvlLbl val="0"/>
      </c:catAx>
      <c:valAx>
        <c:axId val="986275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2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Dashboard.xlsx]Pivot!PivotTable3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0DC-4D20-8C0C-3242601D3A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0DC-4D20-8C0C-3242601D3A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0DC-4D20-8C0C-3242601D3A6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0DC-4D20-8C0C-3242601D3A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Pivot!$A$11:$A$15</c:f>
              <c:strCache>
                <c:ptCount val="4"/>
                <c:pt idx="0">
                  <c:v>East</c:v>
                </c:pt>
                <c:pt idx="1">
                  <c:v>North</c:v>
                </c:pt>
                <c:pt idx="2">
                  <c:v>South</c:v>
                </c:pt>
                <c:pt idx="3">
                  <c:v>West</c:v>
                </c:pt>
              </c:strCache>
            </c:strRef>
          </c:cat>
          <c:val>
            <c:numRef>
              <c:f>Pivot!$B$11:$B$15</c:f>
              <c:numCache>
                <c:formatCode>General</c:formatCode>
                <c:ptCount val="4"/>
                <c:pt idx="0">
                  <c:v>1252700</c:v>
                </c:pt>
                <c:pt idx="1">
                  <c:v>1316800</c:v>
                </c:pt>
                <c:pt idx="2">
                  <c:v>965000</c:v>
                </c:pt>
                <c:pt idx="3">
                  <c:v>1076900</c:v>
                </c:pt>
              </c:numCache>
            </c:numRef>
          </c:val>
          <c:extLst>
            <c:ext xmlns:c16="http://schemas.microsoft.com/office/drawing/2014/chart" uri="{C3380CC4-5D6E-409C-BE32-E72D297353CC}">
              <c16:uniqueId val="{00000008-F0DC-4D20-8C0C-3242601D3A6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Dashboard.xlsx]Pivot!PivotTable4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Pivot!$A$18:$A$22</c:f>
              <c:strCache>
                <c:ptCount val="4"/>
                <c:pt idx="0">
                  <c:v>Apr-2026</c:v>
                </c:pt>
                <c:pt idx="1">
                  <c:v>Feb-2026</c:v>
                </c:pt>
                <c:pt idx="2">
                  <c:v>Jan-2026</c:v>
                </c:pt>
                <c:pt idx="3">
                  <c:v>Mar-2026</c:v>
                </c:pt>
              </c:strCache>
            </c:strRef>
          </c:cat>
          <c:val>
            <c:numRef>
              <c:f>Pivot!$B$18:$B$22</c:f>
              <c:numCache>
                <c:formatCode>General</c:formatCode>
                <c:ptCount val="4"/>
                <c:pt idx="0">
                  <c:v>476950</c:v>
                </c:pt>
                <c:pt idx="1">
                  <c:v>1360900</c:v>
                </c:pt>
                <c:pt idx="2">
                  <c:v>1420100</c:v>
                </c:pt>
                <c:pt idx="3">
                  <c:v>1353450</c:v>
                </c:pt>
              </c:numCache>
            </c:numRef>
          </c:val>
          <c:smooth val="0"/>
          <c:extLst>
            <c:ext xmlns:c16="http://schemas.microsoft.com/office/drawing/2014/chart" uri="{C3380CC4-5D6E-409C-BE32-E72D297353CC}">
              <c16:uniqueId val="{00000000-D800-4019-AC1F-4B558A9C4F92}"/>
            </c:ext>
          </c:extLst>
        </c:ser>
        <c:dLbls>
          <c:showLegendKey val="0"/>
          <c:showVal val="0"/>
          <c:showCatName val="0"/>
          <c:showSerName val="0"/>
          <c:showPercent val="0"/>
          <c:showBubbleSize val="0"/>
        </c:dLbls>
        <c:marker val="1"/>
        <c:smooth val="0"/>
        <c:axId val="98624176"/>
        <c:axId val="98628976"/>
      </c:lineChart>
      <c:catAx>
        <c:axId val="986241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628976"/>
        <c:crosses val="autoZero"/>
        <c:auto val="1"/>
        <c:lblAlgn val="ctr"/>
        <c:lblOffset val="100"/>
        <c:noMultiLvlLbl val="0"/>
      </c:catAx>
      <c:valAx>
        <c:axId val="986289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62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Pivot!$A$25:$A$30</c:f>
              <c:strCache>
                <c:ptCount val="5"/>
                <c:pt idx="0">
                  <c:v>Chair</c:v>
                </c:pt>
                <c:pt idx="1">
                  <c:v>Headphones</c:v>
                </c:pt>
                <c:pt idx="2">
                  <c:v>Laptop</c:v>
                </c:pt>
                <c:pt idx="3">
                  <c:v>Phone</c:v>
                </c:pt>
                <c:pt idx="4">
                  <c:v>Table</c:v>
                </c:pt>
              </c:strCache>
            </c:strRef>
          </c:cat>
          <c:val>
            <c:numRef>
              <c:f>Pivot!$B$25:$B$30</c:f>
              <c:numCache>
                <c:formatCode>General</c:formatCode>
                <c:ptCount val="5"/>
                <c:pt idx="0">
                  <c:v>314500</c:v>
                </c:pt>
                <c:pt idx="1">
                  <c:v>278350</c:v>
                </c:pt>
                <c:pt idx="2">
                  <c:v>1804500</c:v>
                </c:pt>
                <c:pt idx="3">
                  <c:v>1754200</c:v>
                </c:pt>
                <c:pt idx="4">
                  <c:v>459850</c:v>
                </c:pt>
              </c:numCache>
            </c:numRef>
          </c:val>
          <c:extLst>
            <c:ext xmlns:c16="http://schemas.microsoft.com/office/drawing/2014/chart" uri="{C3380CC4-5D6E-409C-BE32-E72D297353CC}">
              <c16:uniqueId val="{00000000-50EE-42ED-BD23-61025DF9E813}"/>
            </c:ext>
          </c:extLst>
        </c:ser>
        <c:dLbls>
          <c:showLegendKey val="0"/>
          <c:showVal val="0"/>
          <c:showCatName val="0"/>
          <c:showSerName val="0"/>
          <c:showPercent val="0"/>
          <c:showBubbleSize val="0"/>
        </c:dLbls>
        <c:gapWidth val="150"/>
        <c:shape val="box"/>
        <c:axId val="98630896"/>
        <c:axId val="98620816"/>
        <c:axId val="0"/>
      </c:bar3DChart>
      <c:catAx>
        <c:axId val="98630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20816"/>
        <c:crosses val="autoZero"/>
        <c:auto val="1"/>
        <c:lblAlgn val="ctr"/>
        <c:lblOffset val="100"/>
        <c:noMultiLvlLbl val="0"/>
      </c:catAx>
      <c:valAx>
        <c:axId val="9862081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3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676276</xdr:colOff>
      <xdr:row>0</xdr:row>
      <xdr:rowOff>28574</xdr:rowOff>
    </xdr:from>
    <xdr:to>
      <xdr:col>5</xdr:col>
      <xdr:colOff>295276</xdr:colOff>
      <xdr:row>10</xdr:row>
      <xdr:rowOff>76200</xdr:rowOff>
    </xdr:to>
    <xdr:graphicFrame macro="">
      <xdr:nvGraphicFramePr>
        <xdr:cNvPr id="2" name="Chart 1">
          <a:extLst>
            <a:ext uri="{FF2B5EF4-FFF2-40B4-BE49-F238E27FC236}">
              <a16:creationId xmlns:a16="http://schemas.microsoft.com/office/drawing/2014/main" id="{506E14DA-A5CD-F50F-394A-567978C54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352424</xdr:colOff>
      <xdr:row>0</xdr:row>
      <xdr:rowOff>47626</xdr:rowOff>
    </xdr:from>
    <xdr:to>
      <xdr:col>9</xdr:col>
      <xdr:colOff>600076</xdr:colOff>
      <xdr:row>10</xdr:row>
      <xdr:rowOff>114300</xdr:rowOff>
    </xdr:to>
    <xdr:graphicFrame macro="">
      <xdr:nvGraphicFramePr>
        <xdr:cNvPr id="3" name="Chart 2">
          <a:extLst>
            <a:ext uri="{FF2B5EF4-FFF2-40B4-BE49-F238E27FC236}">
              <a16:creationId xmlns:a16="http://schemas.microsoft.com/office/drawing/2014/main" id="{FDA87CB7-B8AD-A591-8901-F8C0052E9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57150</xdr:colOff>
      <xdr:row>0</xdr:row>
      <xdr:rowOff>114300</xdr:rowOff>
    </xdr:from>
    <xdr:to>
      <xdr:col>14</xdr:col>
      <xdr:colOff>152399</xdr:colOff>
      <xdr:row>8</xdr:row>
      <xdr:rowOff>85725</xdr:rowOff>
    </xdr:to>
    <xdr:graphicFrame macro="">
      <xdr:nvGraphicFramePr>
        <xdr:cNvPr id="4" name="Chart 3">
          <a:extLst>
            <a:ext uri="{FF2B5EF4-FFF2-40B4-BE49-F238E27FC236}">
              <a16:creationId xmlns:a16="http://schemas.microsoft.com/office/drawing/2014/main" id="{6A15FF30-D53B-3835-216F-926D4CE62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11</xdr:row>
      <xdr:rowOff>57150</xdr:rowOff>
    </xdr:from>
    <xdr:to>
      <xdr:col>7</xdr:col>
      <xdr:colOff>200025</xdr:colOff>
      <xdr:row>20</xdr:row>
      <xdr:rowOff>42862</xdr:rowOff>
    </xdr:to>
    <xdr:graphicFrame macro="">
      <xdr:nvGraphicFramePr>
        <xdr:cNvPr id="5" name="Chart 4">
          <a:extLst>
            <a:ext uri="{FF2B5EF4-FFF2-40B4-BE49-F238E27FC236}">
              <a16:creationId xmlns:a16="http://schemas.microsoft.com/office/drawing/2014/main" id="{EE0A1E7A-4FC9-D64F-2FC8-BE8214C52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361950</xdr:colOff>
      <xdr:row>11</xdr:row>
      <xdr:rowOff>28574</xdr:rowOff>
    </xdr:from>
    <xdr:to>
      <xdr:col>12</xdr:col>
      <xdr:colOff>495300</xdr:colOff>
      <xdr:row>21</xdr:row>
      <xdr:rowOff>19049</xdr:rowOff>
    </xdr:to>
    <xdr:graphicFrame macro="">
      <xdr:nvGraphicFramePr>
        <xdr:cNvPr id="6" name="Chart 5">
          <a:extLst>
            <a:ext uri="{FF2B5EF4-FFF2-40B4-BE49-F238E27FC236}">
              <a16:creationId xmlns:a16="http://schemas.microsoft.com/office/drawing/2014/main" id="{1D4F3D9B-18FF-F677-644C-F30C0BFB9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857250</xdr:colOff>
      <xdr:row>24</xdr:row>
      <xdr:rowOff>138112</xdr:rowOff>
    </xdr:from>
    <xdr:to>
      <xdr:col>7</xdr:col>
      <xdr:colOff>247650</xdr:colOff>
      <xdr:row>33</xdr:row>
      <xdr:rowOff>114300</xdr:rowOff>
    </xdr:to>
    <xdr:graphicFrame macro="">
      <xdr:nvGraphicFramePr>
        <xdr:cNvPr id="8" name="Chart 7">
          <a:extLst>
            <a:ext uri="{FF2B5EF4-FFF2-40B4-BE49-F238E27FC236}">
              <a16:creationId xmlns:a16="http://schemas.microsoft.com/office/drawing/2014/main" id="{5B73BC37-28D5-6829-9E29-9AFD87106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419100</xdr:colOff>
      <xdr:row>22</xdr:row>
      <xdr:rowOff>100012</xdr:rowOff>
    </xdr:from>
    <xdr:to>
      <xdr:col>14</xdr:col>
      <xdr:colOff>200025</xdr:colOff>
      <xdr:row>35</xdr:row>
      <xdr:rowOff>76200</xdr:rowOff>
    </xdr:to>
    <xdr:graphicFrame macro="">
      <xdr:nvGraphicFramePr>
        <xdr:cNvPr id="9" name="Chart 8">
          <a:extLst>
            <a:ext uri="{FF2B5EF4-FFF2-40B4-BE49-F238E27FC236}">
              <a16:creationId xmlns:a16="http://schemas.microsoft.com/office/drawing/2014/main" id="{51509AC5-F472-363A-36F0-C78629312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219075</xdr:colOff>
      <xdr:row>34</xdr:row>
      <xdr:rowOff>138112</xdr:rowOff>
    </xdr:from>
    <xdr:to>
      <xdr:col>5</xdr:col>
      <xdr:colOff>190500</xdr:colOff>
      <xdr:row>46</xdr:row>
      <xdr:rowOff>133350</xdr:rowOff>
    </xdr:to>
    <xdr:graphicFrame macro="">
      <xdr:nvGraphicFramePr>
        <xdr:cNvPr id="10" name="Chart 9">
          <a:extLst>
            <a:ext uri="{FF2B5EF4-FFF2-40B4-BE49-F238E27FC236}">
              <a16:creationId xmlns:a16="http://schemas.microsoft.com/office/drawing/2014/main" id="{3FA92AA8-7807-20C5-2A2D-8DA362B5A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371475</xdr:colOff>
      <xdr:row>36</xdr:row>
      <xdr:rowOff>52386</xdr:rowOff>
    </xdr:from>
    <xdr:to>
      <xdr:col>12</xdr:col>
      <xdr:colOff>400050</xdr:colOff>
      <xdr:row>47</xdr:row>
      <xdr:rowOff>171449</xdr:rowOff>
    </xdr:to>
    <xdr:graphicFrame macro="">
      <xdr:nvGraphicFramePr>
        <xdr:cNvPr id="11" name="Chart 10">
          <a:extLst>
            <a:ext uri="{FF2B5EF4-FFF2-40B4-BE49-F238E27FC236}">
              <a16:creationId xmlns:a16="http://schemas.microsoft.com/office/drawing/2014/main" id="{7B3F4D95-123F-B187-FE9E-212762E11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323850</xdr:colOff>
      <xdr:row>33</xdr:row>
      <xdr:rowOff>85725</xdr:rowOff>
    </xdr:from>
    <xdr:to>
      <xdr:col>19</xdr:col>
      <xdr:colOff>323850</xdr:colOff>
      <xdr:row>46</xdr:row>
      <xdr:rowOff>133350</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E985264F-B93C-D709-8F30-995CE9FFFD1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148457" y="6372225"/>
              <a:ext cx="183696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95250</xdr:colOff>
      <xdr:row>35</xdr:row>
      <xdr:rowOff>142875</xdr:rowOff>
    </xdr:from>
    <xdr:to>
      <xdr:col>16</xdr:col>
      <xdr:colOff>95250</xdr:colOff>
      <xdr:row>49</xdr:row>
      <xdr:rowOff>0</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2CA924A9-D9CC-8983-FBDB-AC595AE23A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082893" y="6810375"/>
              <a:ext cx="183696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390525</xdr:colOff>
      <xdr:row>18</xdr:row>
      <xdr:rowOff>142875</xdr:rowOff>
    </xdr:from>
    <xdr:to>
      <xdr:col>17</xdr:col>
      <xdr:colOff>390525</xdr:colOff>
      <xdr:row>32</xdr:row>
      <xdr:rowOff>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8C5E2754-5F3C-B973-D957-A78E4C7E4A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90489" y="3571875"/>
              <a:ext cx="183696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727982</xdr:colOff>
      <xdr:row>48</xdr:row>
      <xdr:rowOff>125185</xdr:rowOff>
    </xdr:from>
    <xdr:to>
      <xdr:col>7</xdr:col>
      <xdr:colOff>591910</xdr:colOff>
      <xdr:row>63</xdr:row>
      <xdr:rowOff>10885</xdr:rowOff>
    </xdr:to>
    <xdr:graphicFrame macro="">
      <xdr:nvGraphicFramePr>
        <xdr:cNvPr id="15" name="Chart 14">
          <a:extLst>
            <a:ext uri="{FF2B5EF4-FFF2-40B4-BE49-F238E27FC236}">
              <a16:creationId xmlns:a16="http://schemas.microsoft.com/office/drawing/2014/main" id="{EEB14B64-ADE1-7F69-610C-69C45D5FC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0</xdr:rowOff>
    </xdr:from>
    <xdr:to>
      <xdr:col>8</xdr:col>
      <xdr:colOff>11906</xdr:colOff>
      <xdr:row>19</xdr:row>
      <xdr:rowOff>166688</xdr:rowOff>
    </xdr:to>
    <xdr:graphicFrame macro="">
      <xdr:nvGraphicFramePr>
        <xdr:cNvPr id="3" name="Chart 2">
          <a:extLst>
            <a:ext uri="{FF2B5EF4-FFF2-40B4-BE49-F238E27FC236}">
              <a16:creationId xmlns:a16="http://schemas.microsoft.com/office/drawing/2014/main" id="{5D098D8E-E16E-4AFB-A907-BCD853C27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607218</xdr:colOff>
      <xdr:row>7</xdr:row>
      <xdr:rowOff>0</xdr:rowOff>
    </xdr:from>
    <xdr:to>
      <xdr:col>15</xdr:col>
      <xdr:colOff>607217</xdr:colOff>
      <xdr:row>19</xdr:row>
      <xdr:rowOff>178594</xdr:rowOff>
    </xdr:to>
    <xdr:graphicFrame macro="">
      <xdr:nvGraphicFramePr>
        <xdr:cNvPr id="4" name="Chart 3">
          <a:extLst>
            <a:ext uri="{FF2B5EF4-FFF2-40B4-BE49-F238E27FC236}">
              <a16:creationId xmlns:a16="http://schemas.microsoft.com/office/drawing/2014/main" id="{498B5026-B07B-496B-8252-295DA0C94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607218</xdr:colOff>
      <xdr:row>20</xdr:row>
      <xdr:rowOff>190499</xdr:rowOff>
    </xdr:from>
    <xdr:to>
      <xdr:col>8</xdr:col>
      <xdr:colOff>35719</xdr:colOff>
      <xdr:row>33</xdr:row>
      <xdr:rowOff>178594</xdr:rowOff>
    </xdr:to>
    <xdr:graphicFrame macro="">
      <xdr:nvGraphicFramePr>
        <xdr:cNvPr id="13" name="Chart 12">
          <a:extLst>
            <a:ext uri="{FF2B5EF4-FFF2-40B4-BE49-F238E27FC236}">
              <a16:creationId xmlns:a16="http://schemas.microsoft.com/office/drawing/2014/main" id="{8CC16C3E-05F0-4266-B24C-4D9C4EF13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11906</xdr:colOff>
      <xdr:row>20</xdr:row>
      <xdr:rowOff>190499</xdr:rowOff>
    </xdr:from>
    <xdr:to>
      <xdr:col>16</xdr:col>
      <xdr:colOff>23811</xdr:colOff>
      <xdr:row>33</xdr:row>
      <xdr:rowOff>190499</xdr:rowOff>
    </xdr:to>
    <xdr:graphicFrame macro="">
      <xdr:nvGraphicFramePr>
        <xdr:cNvPr id="14" name="Chart 13">
          <a:extLst>
            <a:ext uri="{FF2B5EF4-FFF2-40B4-BE49-F238E27FC236}">
              <a16:creationId xmlns:a16="http://schemas.microsoft.com/office/drawing/2014/main" id="{FA8400EA-44BC-4853-9885-0932A2BF3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22107</xdr:colOff>
      <xdr:row>7</xdr:row>
      <xdr:rowOff>27214</xdr:rowOff>
    </xdr:from>
    <xdr:to>
      <xdr:col>21</xdr:col>
      <xdr:colOff>0</xdr:colOff>
      <xdr:row>14</xdr:row>
      <xdr:rowOff>0</xdr:rowOff>
    </xdr:to>
    <mc:AlternateContent xmlns:mc="http://schemas.openxmlformats.org/markup-compatibility/2006">
      <mc:Choice xmlns:a14="http://schemas.microsoft.com/office/drawing/2010/main" Requires="a14">
        <xdr:graphicFrame macro="">
          <xdr:nvGraphicFramePr>
            <xdr:cNvPr id="15" name="Product 1">
              <a:extLst>
                <a:ext uri="{FF2B5EF4-FFF2-40B4-BE49-F238E27FC236}">
                  <a16:creationId xmlns:a16="http://schemas.microsoft.com/office/drawing/2014/main" id="{C2DAA929-8559-4534-A070-F3532DC718D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293232" y="1408339"/>
              <a:ext cx="2390893" cy="1306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23811</xdr:colOff>
      <xdr:row>14</xdr:row>
      <xdr:rowOff>-1</xdr:rowOff>
    </xdr:from>
    <xdr:to>
      <xdr:col>20</xdr:col>
      <xdr:colOff>585107</xdr:colOff>
      <xdr:row>21</xdr:row>
      <xdr:rowOff>13607</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15A36279-372B-DF25-34FA-BA0A292668D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446882" y="2721428"/>
              <a:ext cx="2398261" cy="1347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27214</xdr:colOff>
      <xdr:row>21</xdr:row>
      <xdr:rowOff>39119</xdr:rowOff>
    </xdr:from>
    <xdr:to>
      <xdr:col>21</xdr:col>
      <xdr:colOff>0</xdr:colOff>
      <xdr:row>27</xdr:row>
      <xdr:rowOff>0</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F9E6B791-107D-14E9-E345-A4DB1F28952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450285" y="4094048"/>
              <a:ext cx="2422072" cy="1103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U PRIYA" refreshedDate="46193.001551851848" createdVersion="8" refreshedVersion="8" minRefreshableVersion="3" recordCount="100" xr:uid="{04C467FA-B10A-4610-B4E9-3A51FA092943}">
  <cacheSource type="worksheet">
    <worksheetSource name="Table1"/>
  </cacheSource>
  <cacheFields count="8">
    <cacheField name="Date" numFmtId="14">
      <sharedItems containsSemiMixedTypes="0" containsNonDate="0" containsDate="1" containsString="0" minDate="2026-01-01T00:00:00" maxDate="2026-04-11T00:00:00"/>
    </cacheField>
    <cacheField name="Product" numFmtId="0">
      <sharedItems count="5">
        <s v="Laptop"/>
        <s v="Phone"/>
        <s v="Chair"/>
        <s v="Table"/>
        <s v="Headphones"/>
      </sharedItems>
    </cacheField>
    <cacheField name="Category" numFmtId="0">
      <sharedItems count="3">
        <s v="Electronics"/>
        <s v="Furniture"/>
        <s v="Accessories"/>
      </sharedItems>
    </cacheField>
    <cacheField name="Region" numFmtId="0">
      <sharedItems count="4">
        <s v="North"/>
        <s v="South"/>
        <s v="East"/>
        <s v="West"/>
      </sharedItems>
    </cacheField>
    <cacheField name="Quantity" numFmtId="0">
      <sharedItems containsSemiMixedTypes="0" containsString="0" containsNumber="1" containsInteger="1" minValue="1" maxValue="12"/>
    </cacheField>
    <cacheField name="Unit Price" numFmtId="0">
      <sharedItems containsSemiMixedTypes="0" containsString="0" containsNumber="1" containsInteger="1" minValue="1400" maxValue="54500"/>
    </cacheField>
    <cacheField name="Sales " numFmtId="0">
      <sharedItems containsSemiMixedTypes="0" containsString="0" containsNumber="1" containsInteger="1" minValue="9450" maxValue="153000"/>
    </cacheField>
    <cacheField name="Month" numFmtId="0">
      <sharedItems count="4">
        <s v="Jan-2026"/>
        <s v="Feb-2026"/>
        <s v="Mar-2026"/>
        <s v="Apr-2026"/>
      </sharedItems>
    </cacheField>
  </cacheFields>
  <extLst>
    <ext xmlns:x14="http://schemas.microsoft.com/office/spreadsheetml/2009/9/main" uri="{725AE2AE-9491-48be-B2B4-4EB974FC3084}">
      <x14:pivotCacheDefinition pivotCacheId="1006647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6-01-01T00:00:00"/>
    <x v="0"/>
    <x v="0"/>
    <x v="0"/>
    <n v="2"/>
    <n v="50000"/>
    <n v="100000"/>
    <x v="0"/>
  </r>
  <r>
    <d v="2026-01-02T00:00:00"/>
    <x v="1"/>
    <x v="0"/>
    <x v="1"/>
    <n v="3"/>
    <n v="20000"/>
    <n v="60000"/>
    <x v="0"/>
  </r>
  <r>
    <d v="2026-01-03T00:00:00"/>
    <x v="2"/>
    <x v="1"/>
    <x v="2"/>
    <n v="5"/>
    <n v="3000"/>
    <n v="15000"/>
    <x v="0"/>
  </r>
  <r>
    <d v="2026-01-04T00:00:00"/>
    <x v="3"/>
    <x v="1"/>
    <x v="3"/>
    <n v="2"/>
    <n v="7000"/>
    <n v="14000"/>
    <x v="0"/>
  </r>
  <r>
    <d v="2026-01-05T00:00:00"/>
    <x v="4"/>
    <x v="2"/>
    <x v="0"/>
    <n v="8"/>
    <n v="1500"/>
    <n v="12000"/>
    <x v="0"/>
  </r>
  <r>
    <d v="2026-01-06T00:00:00"/>
    <x v="0"/>
    <x v="0"/>
    <x v="1"/>
    <n v="1"/>
    <n v="52000"/>
    <n v="52000"/>
    <x v="0"/>
  </r>
  <r>
    <d v="2026-01-07T00:00:00"/>
    <x v="1"/>
    <x v="0"/>
    <x v="2"/>
    <n v="4"/>
    <n v="22000"/>
    <n v="88000"/>
    <x v="0"/>
  </r>
  <r>
    <d v="2026-01-08T00:00:00"/>
    <x v="2"/>
    <x v="1"/>
    <x v="3"/>
    <n v="6"/>
    <n v="2800"/>
    <n v="16800"/>
    <x v="0"/>
  </r>
  <r>
    <d v="2026-01-09T00:00:00"/>
    <x v="3"/>
    <x v="1"/>
    <x v="0"/>
    <n v="3"/>
    <n v="7500"/>
    <n v="22500"/>
    <x v="0"/>
  </r>
  <r>
    <d v="2026-01-10T00:00:00"/>
    <x v="4"/>
    <x v="2"/>
    <x v="1"/>
    <n v="10"/>
    <n v="1400"/>
    <n v="14000"/>
    <x v="0"/>
  </r>
  <r>
    <d v="2026-01-11T00:00:00"/>
    <x v="0"/>
    <x v="2"/>
    <x v="2"/>
    <n v="2"/>
    <n v="51000"/>
    <n v="102000"/>
    <x v="0"/>
  </r>
  <r>
    <d v="2026-01-12T00:00:00"/>
    <x v="1"/>
    <x v="0"/>
    <x v="3"/>
    <n v="5"/>
    <n v="21000"/>
    <n v="105000"/>
    <x v="0"/>
  </r>
  <r>
    <d v="2026-01-13T00:00:00"/>
    <x v="2"/>
    <x v="1"/>
    <x v="0"/>
    <n v="4"/>
    <n v="3200"/>
    <n v="12800"/>
    <x v="0"/>
  </r>
  <r>
    <d v="2026-01-14T00:00:00"/>
    <x v="3"/>
    <x v="1"/>
    <x v="1"/>
    <n v="2"/>
    <n v="6800"/>
    <n v="13600"/>
    <x v="0"/>
  </r>
  <r>
    <d v="2026-01-15T00:00:00"/>
    <x v="4"/>
    <x v="2"/>
    <x v="2"/>
    <n v="7"/>
    <n v="1600"/>
    <n v="11200"/>
    <x v="0"/>
  </r>
  <r>
    <d v="2026-01-16T00:00:00"/>
    <x v="0"/>
    <x v="0"/>
    <x v="3"/>
    <n v="1"/>
    <n v="53000"/>
    <n v="53000"/>
    <x v="0"/>
  </r>
  <r>
    <d v="2026-01-17T00:00:00"/>
    <x v="1"/>
    <x v="0"/>
    <x v="0"/>
    <n v="6"/>
    <n v="19500"/>
    <n v="117000"/>
    <x v="0"/>
  </r>
  <r>
    <d v="2026-01-18T00:00:00"/>
    <x v="2"/>
    <x v="1"/>
    <x v="1"/>
    <n v="5"/>
    <n v="3100"/>
    <n v="15500"/>
    <x v="0"/>
  </r>
  <r>
    <d v="2026-01-19T00:00:00"/>
    <x v="3"/>
    <x v="1"/>
    <x v="2"/>
    <n v="4"/>
    <n v="7200"/>
    <n v="28800"/>
    <x v="0"/>
  </r>
  <r>
    <d v="2026-01-20T00:00:00"/>
    <x v="4"/>
    <x v="2"/>
    <x v="3"/>
    <n v="9"/>
    <n v="1450"/>
    <n v="13050"/>
    <x v="0"/>
  </r>
  <r>
    <d v="2026-01-21T00:00:00"/>
    <x v="0"/>
    <x v="0"/>
    <x v="0"/>
    <n v="3"/>
    <n v="50500"/>
    <n v="151500"/>
    <x v="0"/>
  </r>
  <r>
    <d v="2026-01-22T00:00:00"/>
    <x v="1"/>
    <x v="0"/>
    <x v="1"/>
    <n v="2"/>
    <n v="22500"/>
    <n v="45000"/>
    <x v="0"/>
  </r>
  <r>
    <d v="2026-01-23T00:00:00"/>
    <x v="2"/>
    <x v="1"/>
    <x v="2"/>
    <n v="7"/>
    <n v="2900"/>
    <n v="20300"/>
    <x v="0"/>
  </r>
  <r>
    <d v="2026-01-24T00:00:00"/>
    <x v="3"/>
    <x v="1"/>
    <x v="3"/>
    <n v="3"/>
    <n v="7100"/>
    <n v="21300"/>
    <x v="0"/>
  </r>
  <r>
    <d v="2026-01-25T00:00:00"/>
    <x v="4"/>
    <x v="2"/>
    <x v="0"/>
    <n v="11"/>
    <n v="1550"/>
    <n v="17050"/>
    <x v="0"/>
  </r>
  <r>
    <d v="2026-01-26T00:00:00"/>
    <x v="0"/>
    <x v="0"/>
    <x v="1"/>
    <n v="2"/>
    <n v="51500"/>
    <n v="103000"/>
    <x v="0"/>
  </r>
  <r>
    <d v="2026-01-27T00:00:00"/>
    <x v="1"/>
    <x v="0"/>
    <x v="2"/>
    <n v="5"/>
    <n v="20500"/>
    <n v="102500"/>
    <x v="0"/>
  </r>
  <r>
    <d v="2026-01-28T00:00:00"/>
    <x v="2"/>
    <x v="1"/>
    <x v="3"/>
    <n v="4"/>
    <n v="3000"/>
    <n v="12000"/>
    <x v="0"/>
  </r>
  <r>
    <d v="2026-01-29T00:00:00"/>
    <x v="3"/>
    <x v="1"/>
    <x v="0"/>
    <n v="2"/>
    <n v="7600"/>
    <n v="15200"/>
    <x v="0"/>
  </r>
  <r>
    <d v="2026-01-30T00:00:00"/>
    <x v="4"/>
    <x v="2"/>
    <x v="1"/>
    <n v="8"/>
    <n v="1500"/>
    <n v="12000"/>
    <x v="0"/>
  </r>
  <r>
    <d v="2026-01-31T00:00:00"/>
    <x v="0"/>
    <x v="0"/>
    <x v="2"/>
    <n v="1"/>
    <n v="54000"/>
    <n v="54000"/>
    <x v="0"/>
  </r>
  <r>
    <d v="2026-02-01T00:00:00"/>
    <x v="1"/>
    <x v="0"/>
    <x v="3"/>
    <n v="3"/>
    <n v="21500"/>
    <n v="64500"/>
    <x v="1"/>
  </r>
  <r>
    <d v="2026-02-02T00:00:00"/>
    <x v="2"/>
    <x v="1"/>
    <x v="0"/>
    <n v="6"/>
    <n v="3050"/>
    <n v="18300"/>
    <x v="1"/>
  </r>
  <r>
    <d v="2026-02-03T00:00:00"/>
    <x v="3"/>
    <x v="1"/>
    <x v="1"/>
    <n v="5"/>
    <n v="6900"/>
    <n v="34500"/>
    <x v="1"/>
  </r>
  <r>
    <d v="2026-02-04T00:00:00"/>
    <x v="4"/>
    <x v="2"/>
    <x v="2"/>
    <n v="12"/>
    <n v="1400"/>
    <n v="16800"/>
    <x v="1"/>
  </r>
  <r>
    <d v="2026-02-05T00:00:00"/>
    <x v="0"/>
    <x v="0"/>
    <x v="3"/>
    <n v="2"/>
    <n v="52500"/>
    <n v="105000"/>
    <x v="1"/>
  </r>
  <r>
    <d v="2026-02-06T00:00:00"/>
    <x v="1"/>
    <x v="0"/>
    <x v="0"/>
    <n v="4"/>
    <n v="19800"/>
    <n v="79200"/>
    <x v="1"/>
  </r>
  <r>
    <d v="2026-02-07T00:00:00"/>
    <x v="2"/>
    <x v="1"/>
    <x v="1"/>
    <n v="3"/>
    <n v="3150"/>
    <n v="9450"/>
    <x v="1"/>
  </r>
  <r>
    <d v="2026-02-08T00:00:00"/>
    <x v="3"/>
    <x v="1"/>
    <x v="2"/>
    <n v="4"/>
    <n v="7400"/>
    <n v="29600"/>
    <x v="1"/>
  </r>
  <r>
    <d v="2026-02-09T00:00:00"/>
    <x v="4"/>
    <x v="2"/>
    <x v="3"/>
    <n v="10"/>
    <n v="1500"/>
    <n v="15000"/>
    <x v="1"/>
  </r>
  <r>
    <d v="2026-02-10T00:00:00"/>
    <x v="0"/>
    <x v="0"/>
    <x v="0"/>
    <n v="2"/>
    <n v="50000"/>
    <n v="100000"/>
    <x v="1"/>
  </r>
  <r>
    <d v="2026-02-11T00:00:00"/>
    <x v="1"/>
    <x v="0"/>
    <x v="1"/>
    <n v="5"/>
    <n v="22000"/>
    <n v="110000"/>
    <x v="1"/>
  </r>
  <r>
    <d v="2026-02-12T00:00:00"/>
    <x v="2"/>
    <x v="1"/>
    <x v="2"/>
    <n v="4"/>
    <n v="2950"/>
    <n v="11800"/>
    <x v="1"/>
  </r>
  <r>
    <d v="2026-02-13T00:00:00"/>
    <x v="3"/>
    <x v="1"/>
    <x v="3"/>
    <n v="3"/>
    <n v="7050"/>
    <n v="21150"/>
    <x v="1"/>
  </r>
  <r>
    <d v="2026-02-14T00:00:00"/>
    <x v="4"/>
    <x v="2"/>
    <x v="0"/>
    <n v="9"/>
    <n v="1600"/>
    <n v="14400"/>
    <x v="1"/>
  </r>
  <r>
    <d v="2026-02-15T00:00:00"/>
    <x v="0"/>
    <x v="0"/>
    <x v="1"/>
    <n v="1"/>
    <n v="53500"/>
    <n v="53500"/>
    <x v="1"/>
  </r>
  <r>
    <d v="2026-02-16T00:00:00"/>
    <x v="1"/>
    <x v="0"/>
    <x v="2"/>
    <n v="6"/>
    <n v="21000"/>
    <n v="126000"/>
    <x v="1"/>
  </r>
  <r>
    <d v="2026-02-17T00:00:00"/>
    <x v="2"/>
    <x v="1"/>
    <x v="3"/>
    <n v="5"/>
    <n v="2850"/>
    <n v="14250"/>
    <x v="1"/>
  </r>
  <r>
    <d v="2026-02-18T00:00:00"/>
    <x v="3"/>
    <x v="1"/>
    <x v="0"/>
    <n v="2"/>
    <n v="7500"/>
    <n v="15000"/>
    <x v="1"/>
  </r>
  <r>
    <d v="2026-02-19T00:00:00"/>
    <x v="4"/>
    <x v="2"/>
    <x v="1"/>
    <n v="7"/>
    <n v="1450"/>
    <n v="10150"/>
    <x v="1"/>
  </r>
  <r>
    <d v="2026-02-20T00:00:00"/>
    <x v="0"/>
    <x v="0"/>
    <x v="2"/>
    <n v="3"/>
    <n v="51000"/>
    <n v="153000"/>
    <x v="1"/>
  </r>
  <r>
    <d v="2026-02-21T00:00:00"/>
    <x v="1"/>
    <x v="0"/>
    <x v="3"/>
    <n v="2"/>
    <n v="22500"/>
    <n v="45000"/>
    <x v="1"/>
  </r>
  <r>
    <d v="2026-02-22T00:00:00"/>
    <x v="2"/>
    <x v="1"/>
    <x v="0"/>
    <n v="8"/>
    <n v="3000"/>
    <n v="24000"/>
    <x v="1"/>
  </r>
  <r>
    <d v="2026-02-23T00:00:00"/>
    <x v="3"/>
    <x v="1"/>
    <x v="1"/>
    <n v="4"/>
    <n v="7000"/>
    <n v="28000"/>
    <x v="1"/>
  </r>
  <r>
    <d v="2026-02-24T00:00:00"/>
    <x v="4"/>
    <x v="2"/>
    <x v="2"/>
    <n v="11"/>
    <n v="1500"/>
    <n v="16500"/>
    <x v="1"/>
  </r>
  <r>
    <d v="2026-02-25T00:00:00"/>
    <x v="0"/>
    <x v="0"/>
    <x v="3"/>
    <n v="2"/>
    <n v="52000"/>
    <n v="104000"/>
    <x v="1"/>
  </r>
  <r>
    <d v="2026-02-26T00:00:00"/>
    <x v="1"/>
    <x v="0"/>
    <x v="0"/>
    <n v="5"/>
    <n v="20500"/>
    <n v="102500"/>
    <x v="1"/>
  </r>
  <r>
    <d v="2026-02-27T00:00:00"/>
    <x v="2"/>
    <x v="1"/>
    <x v="1"/>
    <n v="6"/>
    <n v="2900"/>
    <n v="17400"/>
    <x v="1"/>
  </r>
  <r>
    <d v="2026-02-28T00:00:00"/>
    <x v="3"/>
    <x v="1"/>
    <x v="2"/>
    <n v="3"/>
    <n v="7300"/>
    <n v="21900"/>
    <x v="1"/>
  </r>
  <r>
    <d v="2026-03-01T00:00:00"/>
    <x v="4"/>
    <x v="2"/>
    <x v="3"/>
    <n v="8"/>
    <n v="1550"/>
    <n v="12400"/>
    <x v="2"/>
  </r>
  <r>
    <d v="2026-03-02T00:00:00"/>
    <x v="0"/>
    <x v="0"/>
    <x v="0"/>
    <n v="1"/>
    <n v="54500"/>
    <n v="54500"/>
    <x v="2"/>
  </r>
  <r>
    <d v="2026-03-03T00:00:00"/>
    <x v="1"/>
    <x v="0"/>
    <x v="1"/>
    <n v="4"/>
    <n v="21500"/>
    <n v="86000"/>
    <x v="2"/>
  </r>
  <r>
    <d v="2026-03-04T00:00:00"/>
    <x v="2"/>
    <x v="1"/>
    <x v="2"/>
    <n v="5"/>
    <n v="3100"/>
    <n v="15500"/>
    <x v="2"/>
  </r>
  <r>
    <d v="2026-03-05T00:00:00"/>
    <x v="3"/>
    <x v="1"/>
    <x v="3"/>
    <n v="2"/>
    <n v="7200"/>
    <n v="14400"/>
    <x v="2"/>
  </r>
  <r>
    <d v="2026-03-06T00:00:00"/>
    <x v="4"/>
    <x v="2"/>
    <x v="0"/>
    <n v="10"/>
    <n v="1450"/>
    <n v="14500"/>
    <x v="2"/>
  </r>
  <r>
    <d v="2026-03-07T00:00:00"/>
    <x v="0"/>
    <x v="0"/>
    <x v="1"/>
    <n v="2"/>
    <n v="50000"/>
    <n v="100000"/>
    <x v="2"/>
  </r>
  <r>
    <d v="2026-03-08T00:00:00"/>
    <x v="1"/>
    <x v="0"/>
    <x v="2"/>
    <n v="3"/>
    <n v="22000"/>
    <n v="66000"/>
    <x v="2"/>
  </r>
  <r>
    <d v="2026-03-09T00:00:00"/>
    <x v="2"/>
    <x v="1"/>
    <x v="3"/>
    <n v="7"/>
    <n v="3000"/>
    <n v="21000"/>
    <x v="2"/>
  </r>
  <r>
    <d v="2026-03-10T00:00:00"/>
    <x v="3"/>
    <x v="1"/>
    <x v="0"/>
    <n v="4"/>
    <n v="7100"/>
    <n v="28400"/>
    <x v="2"/>
  </r>
  <r>
    <d v="2026-03-11T00:00:00"/>
    <x v="4"/>
    <x v="2"/>
    <x v="1"/>
    <n v="12"/>
    <n v="1500"/>
    <n v="18000"/>
    <x v="2"/>
  </r>
  <r>
    <d v="2026-03-12T00:00:00"/>
    <x v="0"/>
    <x v="0"/>
    <x v="2"/>
    <n v="1"/>
    <n v="53000"/>
    <n v="53000"/>
    <x v="2"/>
  </r>
  <r>
    <d v="2026-03-13T00:00:00"/>
    <x v="1"/>
    <x v="0"/>
    <x v="3"/>
    <n v="6"/>
    <n v="20000"/>
    <n v="120000"/>
    <x v="2"/>
  </r>
  <r>
    <d v="2026-03-14T00:00:00"/>
    <x v="2"/>
    <x v="1"/>
    <x v="0"/>
    <n v="5"/>
    <n v="3200"/>
    <n v="16000"/>
    <x v="2"/>
  </r>
  <r>
    <d v="2026-03-15T00:00:00"/>
    <x v="3"/>
    <x v="1"/>
    <x v="1"/>
    <n v="3"/>
    <n v="6800"/>
    <n v="20400"/>
    <x v="2"/>
  </r>
  <r>
    <d v="2026-03-16T00:00:00"/>
    <x v="4"/>
    <x v="2"/>
    <x v="2"/>
    <n v="9"/>
    <n v="1600"/>
    <n v="14400"/>
    <x v="2"/>
  </r>
  <r>
    <d v="2026-03-17T00:00:00"/>
    <x v="0"/>
    <x v="0"/>
    <x v="3"/>
    <n v="2"/>
    <n v="51500"/>
    <n v="103000"/>
    <x v="2"/>
  </r>
  <r>
    <d v="2026-03-18T00:00:00"/>
    <x v="1"/>
    <x v="0"/>
    <x v="0"/>
    <n v="4"/>
    <n v="21000"/>
    <n v="84000"/>
    <x v="2"/>
  </r>
  <r>
    <d v="2026-03-19T00:00:00"/>
    <x v="2"/>
    <x v="1"/>
    <x v="1"/>
    <n v="6"/>
    <n v="2950"/>
    <n v="17700"/>
    <x v="2"/>
  </r>
  <r>
    <d v="2026-03-20T00:00:00"/>
    <x v="3"/>
    <x v="1"/>
    <x v="2"/>
    <n v="5"/>
    <n v="7400"/>
    <n v="37000"/>
    <x v="2"/>
  </r>
  <r>
    <d v="2026-03-21T00:00:00"/>
    <x v="4"/>
    <x v="2"/>
    <x v="3"/>
    <n v="7"/>
    <n v="1500"/>
    <n v="10500"/>
    <x v="2"/>
  </r>
  <r>
    <d v="2026-03-22T00:00:00"/>
    <x v="0"/>
    <x v="0"/>
    <x v="0"/>
    <n v="3"/>
    <n v="50500"/>
    <n v="151500"/>
    <x v="2"/>
  </r>
  <r>
    <d v="2026-03-23T00:00:00"/>
    <x v="1"/>
    <x v="0"/>
    <x v="1"/>
    <n v="2"/>
    <n v="22500"/>
    <n v="45000"/>
    <x v="2"/>
  </r>
  <r>
    <d v="2026-03-24T00:00:00"/>
    <x v="2"/>
    <x v="1"/>
    <x v="2"/>
    <n v="4"/>
    <n v="2850"/>
    <n v="11400"/>
    <x v="2"/>
  </r>
  <r>
    <d v="2026-03-25T00:00:00"/>
    <x v="3"/>
    <x v="1"/>
    <x v="3"/>
    <n v="3"/>
    <n v="7000"/>
    <n v="21000"/>
    <x v="2"/>
  </r>
  <r>
    <d v="2026-03-26T00:00:00"/>
    <x v="4"/>
    <x v="2"/>
    <x v="0"/>
    <n v="11"/>
    <n v="1450"/>
    <n v="15950"/>
    <x v="2"/>
  </r>
  <r>
    <d v="2026-03-27T00:00:00"/>
    <x v="0"/>
    <x v="0"/>
    <x v="1"/>
    <n v="1"/>
    <n v="54000"/>
    <n v="54000"/>
    <x v="2"/>
  </r>
  <r>
    <d v="2026-03-28T00:00:00"/>
    <x v="1"/>
    <x v="0"/>
    <x v="2"/>
    <n v="5"/>
    <n v="20500"/>
    <n v="102500"/>
    <x v="2"/>
  </r>
  <r>
    <d v="2026-03-29T00:00:00"/>
    <x v="2"/>
    <x v="1"/>
    <x v="3"/>
    <n v="6"/>
    <n v="3000"/>
    <n v="18000"/>
    <x v="2"/>
  </r>
  <r>
    <d v="2026-03-30T00:00:00"/>
    <x v="3"/>
    <x v="1"/>
    <x v="0"/>
    <n v="2"/>
    <n v="7500"/>
    <n v="15000"/>
    <x v="2"/>
  </r>
  <r>
    <d v="2026-03-31T00:00:00"/>
    <x v="4"/>
    <x v="2"/>
    <x v="1"/>
    <n v="8"/>
    <n v="1550"/>
    <n v="12400"/>
    <x v="2"/>
  </r>
  <r>
    <d v="2026-04-01T00:00:00"/>
    <x v="0"/>
    <x v="0"/>
    <x v="2"/>
    <n v="2"/>
    <n v="52000"/>
    <n v="104000"/>
    <x v="3"/>
  </r>
  <r>
    <d v="2026-04-02T00:00:00"/>
    <x v="1"/>
    <x v="0"/>
    <x v="3"/>
    <n v="4"/>
    <n v="21500"/>
    <n v="86000"/>
    <x v="3"/>
  </r>
  <r>
    <d v="2026-04-03T00:00:00"/>
    <x v="2"/>
    <x v="1"/>
    <x v="0"/>
    <n v="5"/>
    <n v="3100"/>
    <n v="15500"/>
    <x v="3"/>
  </r>
  <r>
    <d v="2026-04-04T00:00:00"/>
    <x v="3"/>
    <x v="1"/>
    <x v="1"/>
    <n v="3"/>
    <n v="7200"/>
    <n v="21600"/>
    <x v="3"/>
  </r>
  <r>
    <d v="2026-04-05T00:00:00"/>
    <x v="4"/>
    <x v="2"/>
    <x v="2"/>
    <n v="10"/>
    <n v="1500"/>
    <n v="15000"/>
    <x v="3"/>
  </r>
  <r>
    <d v="2026-04-06T00:00:00"/>
    <x v="0"/>
    <x v="0"/>
    <x v="3"/>
    <n v="1"/>
    <n v="53500"/>
    <n v="53500"/>
    <x v="3"/>
  </r>
  <r>
    <d v="2026-04-07T00:00:00"/>
    <x v="1"/>
    <x v="0"/>
    <x v="0"/>
    <n v="6"/>
    <n v="20000"/>
    <n v="120000"/>
    <x v="3"/>
  </r>
  <r>
    <d v="2026-04-08T00:00:00"/>
    <x v="2"/>
    <x v="1"/>
    <x v="1"/>
    <n v="4"/>
    <n v="2950"/>
    <n v="11800"/>
    <x v="3"/>
  </r>
  <r>
    <d v="2026-04-09T00:00:00"/>
    <x v="3"/>
    <x v="1"/>
    <x v="2"/>
    <n v="5"/>
    <n v="7300"/>
    <n v="36500"/>
    <x v="3"/>
  </r>
  <r>
    <d v="2026-04-10T00:00:00"/>
    <x v="4"/>
    <x v="2"/>
    <x v="3"/>
    <n v="9"/>
    <n v="1450"/>
    <n v="1305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7CD0F1-F7BA-4255-AC8C-008DEC3F151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7:B22" firstHeaderRow="1" firstDataRow="1" firstDataCol="1"/>
  <pivotFields count="8">
    <pivotField numFmtId="14" showAll="0"/>
    <pivotField showAll="0">
      <items count="6">
        <item x="2"/>
        <item x="4"/>
        <item x="0"/>
        <item x="1"/>
        <item x="3"/>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axis="axisRow" showAll="0">
      <items count="5">
        <item x="3"/>
        <item x="1"/>
        <item x="0"/>
        <item x="2"/>
        <item t="default"/>
      </items>
    </pivotField>
  </pivotFields>
  <rowFields count="1">
    <field x="7"/>
  </rowFields>
  <rowItems count="5">
    <i>
      <x/>
    </i>
    <i>
      <x v="1"/>
    </i>
    <i>
      <x v="2"/>
    </i>
    <i>
      <x v="3"/>
    </i>
    <i t="grand">
      <x/>
    </i>
  </rowItems>
  <colItems count="1">
    <i/>
  </colItems>
  <dataFields count="1">
    <dataField name="Monthly Sales Trend" fld="6" baseField="7"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115057-1C22-479B-802E-29CAED18D2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B15" firstHeaderRow="1" firstDataRow="1" firstDataCol="1"/>
  <pivotFields count="8">
    <pivotField numFmtId="14" showAll="0"/>
    <pivotField showAll="0">
      <items count="6">
        <item x="2"/>
        <item x="4"/>
        <item x="0"/>
        <item x="1"/>
        <item x="3"/>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items count="5">
        <item x="3"/>
        <item x="1"/>
        <item x="0"/>
        <item x="2"/>
        <item t="default"/>
      </items>
    </pivotField>
  </pivotFields>
  <rowFields count="1">
    <field x="3"/>
  </rowFields>
  <rowItems count="5">
    <i>
      <x/>
    </i>
    <i>
      <x v="1"/>
    </i>
    <i>
      <x v="2"/>
    </i>
    <i>
      <x v="3"/>
    </i>
    <i t="grand">
      <x/>
    </i>
  </rowItems>
  <colItems count="1">
    <i/>
  </colItems>
  <dataFields count="1">
    <dataField name="Sales By Region" fld="6" baseField="0" baseItem="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FD2C56-645A-40FD-B338-1DE0C793D9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B8" firstHeaderRow="1" firstDataRow="1" firstDataCol="1"/>
  <pivotFields count="8">
    <pivotField numFmtId="14" showAll="0"/>
    <pivotField showAll="0">
      <items count="6">
        <item x="2"/>
        <item x="4"/>
        <item x="0"/>
        <item x="1"/>
        <item x="3"/>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2"/>
  </rowFields>
  <rowItems count="4">
    <i>
      <x/>
    </i>
    <i>
      <x v="1"/>
    </i>
    <i>
      <x v="2"/>
    </i>
    <i t="grand">
      <x/>
    </i>
  </rowItems>
  <colItems count="1">
    <i/>
  </colItems>
  <dataFields count="1">
    <dataField name="Sales By Catagory" fld="6" baseField="2" baseItem="1"/>
  </dataField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A1500A-7522-4EC9-A042-DF450F31BD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2" firstHeaderRow="1" firstDataRow="1" firstDataCol="0"/>
  <pivotFields count="8">
    <pivotField numFmtId="14" showAll="0"/>
    <pivotField showAll="0">
      <items count="6">
        <item x="2"/>
        <item x="4"/>
        <item x="0"/>
        <item x="1"/>
        <item x="3"/>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Items count="1">
    <i/>
  </rowItems>
  <colItems count="1">
    <i/>
  </colItems>
  <dataFields count="1">
    <dataField name="Sum of Sales " fld="6" baseField="0" baseItem="0" numFmtId="4"/>
  </dataFields>
  <formats count="2">
    <format dxfId="15">
      <pivotArea outline="0" collapsedLevelsAreSubtotals="1" fieldPosition="0"/>
    </format>
    <format dxfId="14">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0B9BAD-D335-49CC-B40D-3102A6C31D3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0:A51" firstHeaderRow="1" firstDataRow="1" firstDataCol="0"/>
  <pivotFields count="8">
    <pivotField dataField="1" numFmtId="14" showAll="0"/>
    <pivotField showAll="0">
      <items count="6">
        <item x="2"/>
        <item x="4"/>
        <item x="0"/>
        <item x="1"/>
        <item x="3"/>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s>
  <rowItems count="1">
    <i/>
  </rowItems>
  <colItems count="1">
    <i/>
  </colItems>
  <dataFields count="1">
    <dataField name="Total Order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D12BFF-CA82-4ED5-BBCB-CA17BA3C6C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4:B30" firstHeaderRow="1" firstDataRow="1" firstDataCol="1"/>
  <pivotFields count="8">
    <pivotField numFmtId="14" showAll="0"/>
    <pivotField axis="axisRow" showAll="0">
      <items count="6">
        <item x="2"/>
        <item x="4"/>
        <item x="0"/>
        <item x="1"/>
        <item x="3"/>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1"/>
  </rowFields>
  <rowItems count="6">
    <i>
      <x/>
    </i>
    <i>
      <x v="1"/>
    </i>
    <i>
      <x v="2"/>
    </i>
    <i>
      <x v="3"/>
    </i>
    <i>
      <x v="4"/>
    </i>
    <i t="grand">
      <x/>
    </i>
  </rowItems>
  <colItems count="1">
    <i/>
  </colItems>
  <dataFields count="1">
    <dataField name="Top Selling Products" fld="6"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80A097-D1D2-4171-857F-C9EC8BDA6A37}" sourceName="Region">
  <pivotTables>
    <pivotTable tabId="2" name="PivotTable2"/>
    <pivotTable tabId="2" name="PivotTable3"/>
    <pivotTable tabId="2" name="PivotTable4"/>
    <pivotTable tabId="2" name="PivotTable5"/>
    <pivotTable tabId="2" name="PivotTable1"/>
    <pivotTable tabId="2" name="PivotTable6"/>
  </pivotTables>
  <data>
    <tabular pivotCacheId="100664730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10530A0A-8B05-4B56-AB04-1245F774B1D8}" sourceName="Product">
  <pivotTables>
    <pivotTable tabId="2" name="PivotTable3"/>
    <pivotTable tabId="2" name="PivotTable2"/>
    <pivotTable tabId="2" name="PivotTable4"/>
    <pivotTable tabId="2" name="PivotTable5"/>
    <pivotTable tabId="2" name="PivotTable1"/>
    <pivotTable tabId="2" name="PivotTable6"/>
  </pivotTables>
  <data>
    <tabular pivotCacheId="1006647308">
      <items count="5">
        <i x="2" s="1"/>
        <i x="4"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A956584-E206-4CB3-B948-171B0120EFF5}" sourceName="Category">
  <pivotTables>
    <pivotTable tabId="2" name="PivotTable3"/>
    <pivotTable tabId="2" name="PivotTable2"/>
    <pivotTable tabId="2" name="PivotTable4"/>
    <pivotTable tabId="2" name="PivotTable5"/>
    <pivotTable tabId="2" name="PivotTable1"/>
    <pivotTable tabId="2" name="PivotTable6"/>
  </pivotTables>
  <data>
    <tabular pivotCacheId="100664730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B3EE79-BB53-483F-A827-B4C87C8F5BBA}" cache="Slicer_Region" caption="Region" rowHeight="241300"/>
  <slicer name="Product" xr10:uid="{8BD02877-7432-480C-99ED-8654C10B987B}" cache="Slicer_Product1" caption="Product" rowHeight="241300"/>
  <slicer name="Category" xr10:uid="{23BC3608-2CB2-4E77-AA52-EFC40DB14ACD}" cache="Slicer_Category1"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EA957CF-174F-4B61-98F8-1A7565C110D1}" cache="Slicer_Region" caption="Region" columnCount="2" rowHeight="241300"/>
  <slicer name="Product 1" xr10:uid="{0871B84B-0CDB-4788-98F0-714DD8CB841D}" cache="Slicer_Product1" caption="Product" columnCount="2" rowHeight="241300"/>
  <slicer name="Category 1" xr10:uid="{11F6D13C-3F71-442B-89D9-781F0A477F64}" cache="Slicer_Category1"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0B4915-5225-4A93-AAE0-488B1AC65395}" name="Table1" displayName="Table1" ref="A1:H101" totalsRowShown="0" headerRowDxfId="13" dataDxfId="12">
  <autoFilter ref="A1:H101" xr:uid="{520B4915-5225-4A93-AAE0-488B1AC65395}"/>
  <tableColumns count="8">
    <tableColumn id="1" xr3:uid="{9D28857C-24A4-493D-9500-E1E7BFAAFA72}" name="Date" dataDxfId="11"/>
    <tableColumn id="2" xr3:uid="{C2B73BD6-4AE4-4924-9EB1-E2517D5D7D4F}" name="Product" dataDxfId="10"/>
    <tableColumn id="3" xr3:uid="{2E4B1C74-DC6D-4FA2-ACBC-8FFD7C7E6E83}" name="Category" dataDxfId="9"/>
    <tableColumn id="4" xr3:uid="{7D3D7F5A-C03A-47F5-984A-F6DA1E132D59}" name="Region" dataDxfId="8"/>
    <tableColumn id="5" xr3:uid="{23CDC2EE-EDEA-459E-B739-4B7AC8205A32}" name="Quantity" dataDxfId="7"/>
    <tableColumn id="6" xr3:uid="{18014B0E-F354-46F6-AC6A-B30A7294BD46}" name="Unit Price" dataDxfId="6"/>
    <tableColumn id="7" xr3:uid="{148D99B9-1744-4805-A98C-359DFC33F535}" name="Sales " dataDxfId="5">
      <calculatedColumnFormula>E2*F2</calculatedColumnFormula>
    </tableColumn>
    <tableColumn id="8" xr3:uid="{FC69F8A8-3842-43A1-B739-08F9D7A8B82E}" name="Month" dataDxfId="4">
      <calculatedColumnFormula>TEXT(A2,"MMM-YYYY")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2EDF3-0FB9-4C25-8043-9C3F01B30B29}">
  <dimension ref="A1:B51"/>
  <sheetViews>
    <sheetView topLeftCell="C19" zoomScale="70" zoomScaleNormal="70" workbookViewId="0">
      <selection activeCell="V39" sqref="V39"/>
    </sheetView>
  </sheetViews>
  <sheetFormatPr defaultRowHeight="15" x14ac:dyDescent="0.25"/>
  <cols>
    <col min="1" max="1" width="15.7109375" bestFit="1" customWidth="1"/>
    <col min="2" max="2" width="25.7109375" bestFit="1" customWidth="1"/>
    <col min="3" max="3" width="13.140625" bestFit="1" customWidth="1"/>
    <col min="4" max="4" width="12.5703125" bestFit="1" customWidth="1"/>
  </cols>
  <sheetData>
    <row r="1" spans="1:2" x14ac:dyDescent="0.25">
      <c r="A1" t="s">
        <v>20</v>
      </c>
    </row>
    <row r="2" spans="1:2" x14ac:dyDescent="0.25">
      <c r="A2" s="5">
        <v>4611400</v>
      </c>
    </row>
    <row r="4" spans="1:2" x14ac:dyDescent="0.25">
      <c r="A4" s="4" t="s">
        <v>21</v>
      </c>
      <c r="B4" t="s">
        <v>30</v>
      </c>
    </row>
    <row r="5" spans="1:2" x14ac:dyDescent="0.25">
      <c r="A5" s="3" t="s">
        <v>11</v>
      </c>
      <c r="B5" s="10">
        <v>380350</v>
      </c>
    </row>
    <row r="6" spans="1:2" x14ac:dyDescent="0.25">
      <c r="A6" s="3" t="s">
        <v>1</v>
      </c>
      <c r="B6" s="10">
        <v>3456700</v>
      </c>
    </row>
    <row r="7" spans="1:2" x14ac:dyDescent="0.25">
      <c r="A7" s="3" t="s">
        <v>6</v>
      </c>
      <c r="B7" s="10">
        <v>774350</v>
      </c>
    </row>
    <row r="8" spans="1:2" x14ac:dyDescent="0.25">
      <c r="A8" s="3" t="s">
        <v>22</v>
      </c>
      <c r="B8" s="10">
        <v>4611400</v>
      </c>
    </row>
    <row r="10" spans="1:2" x14ac:dyDescent="0.25">
      <c r="A10" s="4" t="s">
        <v>21</v>
      </c>
      <c r="B10" t="s">
        <v>31</v>
      </c>
    </row>
    <row r="11" spans="1:2" x14ac:dyDescent="0.25">
      <c r="A11" s="3" t="s">
        <v>7</v>
      </c>
      <c r="B11" s="10">
        <v>1252700</v>
      </c>
    </row>
    <row r="12" spans="1:2" x14ac:dyDescent="0.25">
      <c r="A12" s="3" t="s">
        <v>2</v>
      </c>
      <c r="B12" s="10">
        <v>1316800</v>
      </c>
    </row>
    <row r="13" spans="1:2" x14ac:dyDescent="0.25">
      <c r="A13" s="3" t="s">
        <v>4</v>
      </c>
      <c r="B13" s="10">
        <v>965000</v>
      </c>
    </row>
    <row r="14" spans="1:2" x14ac:dyDescent="0.25">
      <c r="A14" s="3" t="s">
        <v>9</v>
      </c>
      <c r="B14" s="10">
        <v>1076900</v>
      </c>
    </row>
    <row r="15" spans="1:2" x14ac:dyDescent="0.25">
      <c r="A15" s="3" t="s">
        <v>22</v>
      </c>
      <c r="B15" s="10">
        <v>4611400</v>
      </c>
    </row>
    <row r="17" spans="1:2" x14ac:dyDescent="0.25">
      <c r="A17" s="4" t="s">
        <v>21</v>
      </c>
      <c r="B17" t="s">
        <v>32</v>
      </c>
    </row>
    <row r="18" spans="1:2" x14ac:dyDescent="0.25">
      <c r="A18" s="3" t="s">
        <v>23</v>
      </c>
      <c r="B18" s="10">
        <v>476950</v>
      </c>
    </row>
    <row r="19" spans="1:2" x14ac:dyDescent="0.25">
      <c r="A19" s="3" t="s">
        <v>24</v>
      </c>
      <c r="B19" s="10">
        <v>1360900</v>
      </c>
    </row>
    <row r="20" spans="1:2" x14ac:dyDescent="0.25">
      <c r="A20" s="3" t="s">
        <v>25</v>
      </c>
      <c r="B20" s="10">
        <v>1420100</v>
      </c>
    </row>
    <row r="21" spans="1:2" x14ac:dyDescent="0.25">
      <c r="A21" s="3" t="s">
        <v>26</v>
      </c>
      <c r="B21" s="10">
        <v>1353450</v>
      </c>
    </row>
    <row r="22" spans="1:2" x14ac:dyDescent="0.25">
      <c r="A22" s="3" t="s">
        <v>22</v>
      </c>
      <c r="B22" s="10">
        <v>4611400</v>
      </c>
    </row>
    <row r="24" spans="1:2" x14ac:dyDescent="0.25">
      <c r="A24" s="4" t="s">
        <v>21</v>
      </c>
      <c r="B24" t="s">
        <v>33</v>
      </c>
    </row>
    <row r="25" spans="1:2" x14ac:dyDescent="0.25">
      <c r="A25" s="3" t="s">
        <v>5</v>
      </c>
      <c r="B25" s="10">
        <v>314500</v>
      </c>
    </row>
    <row r="26" spans="1:2" x14ac:dyDescent="0.25">
      <c r="A26" s="3" t="s">
        <v>10</v>
      </c>
      <c r="B26" s="10">
        <v>278350</v>
      </c>
    </row>
    <row r="27" spans="1:2" x14ac:dyDescent="0.25">
      <c r="A27" s="3" t="s">
        <v>0</v>
      </c>
      <c r="B27" s="10">
        <v>1804500</v>
      </c>
    </row>
    <row r="28" spans="1:2" x14ac:dyDescent="0.25">
      <c r="A28" s="3" t="s">
        <v>3</v>
      </c>
      <c r="B28" s="10">
        <v>1754200</v>
      </c>
    </row>
    <row r="29" spans="1:2" x14ac:dyDescent="0.25">
      <c r="A29" s="3" t="s">
        <v>8</v>
      </c>
      <c r="B29" s="10">
        <v>459850</v>
      </c>
    </row>
    <row r="30" spans="1:2" x14ac:dyDescent="0.25">
      <c r="A30" s="3" t="s">
        <v>22</v>
      </c>
      <c r="B30" s="10">
        <v>4611400</v>
      </c>
    </row>
    <row r="50" spans="1:1" x14ac:dyDescent="0.25">
      <c r="A50" t="s">
        <v>28</v>
      </c>
    </row>
    <row r="51" spans="1:1" x14ac:dyDescent="0.25">
      <c r="A51" s="10">
        <v>100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1243-A9C3-42F7-B1DC-7C67B0004345}">
  <dimension ref="A1:H101"/>
  <sheetViews>
    <sheetView topLeftCell="A2" workbookViewId="0">
      <selection activeCell="E12" sqref="E12"/>
    </sheetView>
  </sheetViews>
  <sheetFormatPr defaultRowHeight="15" x14ac:dyDescent="0.25"/>
  <cols>
    <col min="1" max="1" width="9.7109375" bestFit="1" customWidth="1"/>
    <col min="2" max="2" width="12.42578125" bestFit="1" customWidth="1"/>
    <col min="3" max="3" width="13.42578125" bestFit="1" customWidth="1"/>
    <col min="4" max="4" width="11.7109375" bestFit="1" customWidth="1"/>
    <col min="5" max="5" width="13.28515625" bestFit="1" customWidth="1"/>
    <col min="6" max="6" width="14.28515625" bestFit="1" customWidth="1"/>
    <col min="7" max="7" width="10.5703125" bestFit="1" customWidth="1"/>
    <col min="8" max="8" width="11.5703125" bestFit="1" customWidth="1"/>
  </cols>
  <sheetData>
    <row r="1" spans="1:8" x14ac:dyDescent="0.25">
      <c r="A1" s="1" t="s">
        <v>12</v>
      </c>
      <c r="B1" s="1" t="s">
        <v>13</v>
      </c>
      <c r="C1" s="1" t="s">
        <v>14</v>
      </c>
      <c r="D1" s="1" t="s">
        <v>15</v>
      </c>
      <c r="E1" s="1" t="s">
        <v>16</v>
      </c>
      <c r="F1" s="1" t="s">
        <v>17</v>
      </c>
      <c r="G1" s="1" t="s">
        <v>18</v>
      </c>
      <c r="H1" s="1" t="s">
        <v>19</v>
      </c>
    </row>
    <row r="2" spans="1:8" x14ac:dyDescent="0.25">
      <c r="A2" s="2">
        <v>46023</v>
      </c>
      <c r="B2" s="3" t="s">
        <v>0</v>
      </c>
      <c r="C2" s="3" t="s">
        <v>1</v>
      </c>
      <c r="D2" s="3" t="s">
        <v>2</v>
      </c>
      <c r="E2" s="3">
        <v>2</v>
      </c>
      <c r="F2" s="3">
        <v>50000</v>
      </c>
      <c r="G2" s="3">
        <f t="shared" ref="G2:G65" si="0">E2*F2</f>
        <v>100000</v>
      </c>
      <c r="H2" t="str">
        <f t="shared" ref="H2:H65" si="1">TEXT(A2,"MMM-YYYY")</f>
        <v>Jan-2026</v>
      </c>
    </row>
    <row r="3" spans="1:8" x14ac:dyDescent="0.25">
      <c r="A3" s="2">
        <v>46024</v>
      </c>
      <c r="B3" s="3" t="s">
        <v>3</v>
      </c>
      <c r="C3" s="3" t="s">
        <v>1</v>
      </c>
      <c r="D3" s="3" t="s">
        <v>4</v>
      </c>
      <c r="E3" s="3">
        <v>3</v>
      </c>
      <c r="F3" s="3">
        <v>20000</v>
      </c>
      <c r="G3" s="3">
        <f t="shared" si="0"/>
        <v>60000</v>
      </c>
      <c r="H3" s="3" t="str">
        <f t="shared" si="1"/>
        <v>Jan-2026</v>
      </c>
    </row>
    <row r="4" spans="1:8" x14ac:dyDescent="0.25">
      <c r="A4" s="2">
        <v>46025</v>
      </c>
      <c r="B4" s="3" t="s">
        <v>5</v>
      </c>
      <c r="C4" s="3" t="s">
        <v>6</v>
      </c>
      <c r="D4" s="3" t="s">
        <v>7</v>
      </c>
      <c r="E4" s="3">
        <v>5</v>
      </c>
      <c r="F4" s="3">
        <v>3000</v>
      </c>
      <c r="G4" s="3">
        <f t="shared" si="0"/>
        <v>15000</v>
      </c>
      <c r="H4" s="3" t="str">
        <f t="shared" si="1"/>
        <v>Jan-2026</v>
      </c>
    </row>
    <row r="5" spans="1:8" x14ac:dyDescent="0.25">
      <c r="A5" s="2">
        <v>46026</v>
      </c>
      <c r="B5" s="3" t="s">
        <v>8</v>
      </c>
      <c r="C5" s="3" t="s">
        <v>6</v>
      </c>
      <c r="D5" s="3" t="s">
        <v>9</v>
      </c>
      <c r="E5" s="3">
        <v>2</v>
      </c>
      <c r="F5" s="3">
        <v>7000</v>
      </c>
      <c r="G5" s="3">
        <f t="shared" si="0"/>
        <v>14000</v>
      </c>
      <c r="H5" s="3" t="str">
        <f t="shared" si="1"/>
        <v>Jan-2026</v>
      </c>
    </row>
    <row r="6" spans="1:8" x14ac:dyDescent="0.25">
      <c r="A6" s="2">
        <v>46027</v>
      </c>
      <c r="B6" s="3" t="s">
        <v>10</v>
      </c>
      <c r="C6" s="3" t="s">
        <v>11</v>
      </c>
      <c r="D6" s="3" t="s">
        <v>2</v>
      </c>
      <c r="E6" s="3">
        <v>8</v>
      </c>
      <c r="F6" s="3">
        <v>1500</v>
      </c>
      <c r="G6" s="3">
        <f t="shared" si="0"/>
        <v>12000</v>
      </c>
      <c r="H6" s="3" t="str">
        <f t="shared" si="1"/>
        <v>Jan-2026</v>
      </c>
    </row>
    <row r="7" spans="1:8" x14ac:dyDescent="0.25">
      <c r="A7" s="2">
        <v>46028</v>
      </c>
      <c r="B7" s="3" t="s">
        <v>0</v>
      </c>
      <c r="C7" s="3" t="s">
        <v>1</v>
      </c>
      <c r="D7" s="3" t="s">
        <v>4</v>
      </c>
      <c r="E7" s="3">
        <v>1</v>
      </c>
      <c r="F7" s="3">
        <v>52000</v>
      </c>
      <c r="G7" s="3">
        <f t="shared" si="0"/>
        <v>52000</v>
      </c>
      <c r="H7" s="3" t="str">
        <f t="shared" si="1"/>
        <v>Jan-2026</v>
      </c>
    </row>
    <row r="8" spans="1:8" x14ac:dyDescent="0.25">
      <c r="A8" s="2">
        <v>46029</v>
      </c>
      <c r="B8" s="3" t="s">
        <v>3</v>
      </c>
      <c r="C8" s="3" t="s">
        <v>1</v>
      </c>
      <c r="D8" s="3" t="s">
        <v>7</v>
      </c>
      <c r="E8" s="3">
        <v>4</v>
      </c>
      <c r="F8" s="3">
        <v>22000</v>
      </c>
      <c r="G8" s="3">
        <f t="shared" si="0"/>
        <v>88000</v>
      </c>
      <c r="H8" s="3" t="str">
        <f t="shared" si="1"/>
        <v>Jan-2026</v>
      </c>
    </row>
    <row r="9" spans="1:8" x14ac:dyDescent="0.25">
      <c r="A9" s="2">
        <v>46030</v>
      </c>
      <c r="B9" s="3" t="s">
        <v>5</v>
      </c>
      <c r="C9" s="3" t="s">
        <v>6</v>
      </c>
      <c r="D9" s="3" t="s">
        <v>9</v>
      </c>
      <c r="E9" s="3">
        <v>6</v>
      </c>
      <c r="F9" s="3">
        <v>2800</v>
      </c>
      <c r="G9" s="3">
        <f t="shared" si="0"/>
        <v>16800</v>
      </c>
      <c r="H9" s="3" t="str">
        <f t="shared" si="1"/>
        <v>Jan-2026</v>
      </c>
    </row>
    <row r="10" spans="1:8" x14ac:dyDescent="0.25">
      <c r="A10" s="2">
        <v>46031</v>
      </c>
      <c r="B10" s="3" t="s">
        <v>8</v>
      </c>
      <c r="C10" s="3" t="s">
        <v>6</v>
      </c>
      <c r="D10" s="3" t="s">
        <v>2</v>
      </c>
      <c r="E10" s="3">
        <v>3</v>
      </c>
      <c r="F10" s="3">
        <v>7500</v>
      </c>
      <c r="G10" s="3">
        <f t="shared" si="0"/>
        <v>22500</v>
      </c>
      <c r="H10" s="3" t="str">
        <f t="shared" si="1"/>
        <v>Jan-2026</v>
      </c>
    </row>
    <row r="11" spans="1:8" x14ac:dyDescent="0.25">
      <c r="A11" s="2">
        <v>46032</v>
      </c>
      <c r="B11" s="3" t="s">
        <v>10</v>
      </c>
      <c r="C11" s="3" t="s">
        <v>11</v>
      </c>
      <c r="D11" s="3" t="s">
        <v>4</v>
      </c>
      <c r="E11" s="3">
        <v>10</v>
      </c>
      <c r="F11" s="3">
        <v>1400</v>
      </c>
      <c r="G11" s="3">
        <f t="shared" si="0"/>
        <v>14000</v>
      </c>
      <c r="H11" s="3" t="str">
        <f t="shared" si="1"/>
        <v>Jan-2026</v>
      </c>
    </row>
    <row r="12" spans="1:8" x14ac:dyDescent="0.25">
      <c r="A12" s="2">
        <v>46033</v>
      </c>
      <c r="B12" s="3" t="s">
        <v>0</v>
      </c>
      <c r="C12" s="3" t="s">
        <v>11</v>
      </c>
      <c r="D12" s="3" t="s">
        <v>7</v>
      </c>
      <c r="E12" s="3">
        <v>2</v>
      </c>
      <c r="F12" s="3">
        <v>51000</v>
      </c>
      <c r="G12" s="3">
        <f t="shared" si="0"/>
        <v>102000</v>
      </c>
      <c r="H12" s="3" t="str">
        <f t="shared" si="1"/>
        <v>Jan-2026</v>
      </c>
    </row>
    <row r="13" spans="1:8" x14ac:dyDescent="0.25">
      <c r="A13" s="2">
        <v>46034</v>
      </c>
      <c r="B13" s="3" t="s">
        <v>3</v>
      </c>
      <c r="C13" s="3" t="s">
        <v>1</v>
      </c>
      <c r="D13" s="3" t="s">
        <v>9</v>
      </c>
      <c r="E13" s="3">
        <v>5</v>
      </c>
      <c r="F13" s="3">
        <v>21000</v>
      </c>
      <c r="G13" s="3">
        <f t="shared" si="0"/>
        <v>105000</v>
      </c>
      <c r="H13" s="3" t="str">
        <f t="shared" si="1"/>
        <v>Jan-2026</v>
      </c>
    </row>
    <row r="14" spans="1:8" x14ac:dyDescent="0.25">
      <c r="A14" s="2">
        <v>46035</v>
      </c>
      <c r="B14" s="3" t="s">
        <v>5</v>
      </c>
      <c r="C14" s="3" t="s">
        <v>6</v>
      </c>
      <c r="D14" s="3" t="s">
        <v>2</v>
      </c>
      <c r="E14" s="3">
        <v>4</v>
      </c>
      <c r="F14" s="3">
        <v>3200</v>
      </c>
      <c r="G14" s="3">
        <f t="shared" si="0"/>
        <v>12800</v>
      </c>
      <c r="H14" s="3" t="str">
        <f t="shared" si="1"/>
        <v>Jan-2026</v>
      </c>
    </row>
    <row r="15" spans="1:8" x14ac:dyDescent="0.25">
      <c r="A15" s="2">
        <v>46036</v>
      </c>
      <c r="B15" s="3" t="s">
        <v>8</v>
      </c>
      <c r="C15" s="3" t="s">
        <v>6</v>
      </c>
      <c r="D15" s="3" t="s">
        <v>4</v>
      </c>
      <c r="E15" s="3">
        <v>2</v>
      </c>
      <c r="F15" s="3">
        <v>6800</v>
      </c>
      <c r="G15" s="3">
        <f t="shared" si="0"/>
        <v>13600</v>
      </c>
      <c r="H15" s="3" t="str">
        <f t="shared" si="1"/>
        <v>Jan-2026</v>
      </c>
    </row>
    <row r="16" spans="1:8" x14ac:dyDescent="0.25">
      <c r="A16" s="2">
        <v>46037</v>
      </c>
      <c r="B16" s="3" t="s">
        <v>10</v>
      </c>
      <c r="C16" s="3" t="s">
        <v>11</v>
      </c>
      <c r="D16" s="3" t="s">
        <v>7</v>
      </c>
      <c r="E16" s="3">
        <v>7</v>
      </c>
      <c r="F16" s="3">
        <v>1600</v>
      </c>
      <c r="G16" s="3">
        <f t="shared" si="0"/>
        <v>11200</v>
      </c>
      <c r="H16" s="3" t="str">
        <f t="shared" si="1"/>
        <v>Jan-2026</v>
      </c>
    </row>
    <row r="17" spans="1:8" x14ac:dyDescent="0.25">
      <c r="A17" s="2">
        <v>46038</v>
      </c>
      <c r="B17" s="3" t="s">
        <v>0</v>
      </c>
      <c r="C17" s="3" t="s">
        <v>1</v>
      </c>
      <c r="D17" s="3" t="s">
        <v>9</v>
      </c>
      <c r="E17" s="3">
        <v>1</v>
      </c>
      <c r="F17" s="3">
        <v>53000</v>
      </c>
      <c r="G17" s="3">
        <f t="shared" si="0"/>
        <v>53000</v>
      </c>
      <c r="H17" s="3" t="str">
        <f t="shared" si="1"/>
        <v>Jan-2026</v>
      </c>
    </row>
    <row r="18" spans="1:8" x14ac:dyDescent="0.25">
      <c r="A18" s="2">
        <v>46039</v>
      </c>
      <c r="B18" s="3" t="s">
        <v>3</v>
      </c>
      <c r="C18" s="3" t="s">
        <v>1</v>
      </c>
      <c r="D18" s="3" t="s">
        <v>2</v>
      </c>
      <c r="E18" s="3">
        <v>6</v>
      </c>
      <c r="F18" s="3">
        <v>19500</v>
      </c>
      <c r="G18" s="3">
        <f t="shared" si="0"/>
        <v>117000</v>
      </c>
      <c r="H18" s="3" t="str">
        <f t="shared" si="1"/>
        <v>Jan-2026</v>
      </c>
    </row>
    <row r="19" spans="1:8" x14ac:dyDescent="0.25">
      <c r="A19" s="2">
        <v>46040</v>
      </c>
      <c r="B19" s="3" t="s">
        <v>5</v>
      </c>
      <c r="C19" s="3" t="s">
        <v>6</v>
      </c>
      <c r="D19" s="3" t="s">
        <v>4</v>
      </c>
      <c r="E19" s="3">
        <v>5</v>
      </c>
      <c r="F19" s="3">
        <v>3100</v>
      </c>
      <c r="G19" s="3">
        <f t="shared" si="0"/>
        <v>15500</v>
      </c>
      <c r="H19" s="3" t="str">
        <f t="shared" si="1"/>
        <v>Jan-2026</v>
      </c>
    </row>
    <row r="20" spans="1:8" x14ac:dyDescent="0.25">
      <c r="A20" s="2">
        <v>46041</v>
      </c>
      <c r="B20" s="3" t="s">
        <v>8</v>
      </c>
      <c r="C20" s="3" t="s">
        <v>6</v>
      </c>
      <c r="D20" s="3" t="s">
        <v>7</v>
      </c>
      <c r="E20" s="3">
        <v>4</v>
      </c>
      <c r="F20" s="3">
        <v>7200</v>
      </c>
      <c r="G20" s="3">
        <f t="shared" si="0"/>
        <v>28800</v>
      </c>
      <c r="H20" s="3" t="str">
        <f t="shared" si="1"/>
        <v>Jan-2026</v>
      </c>
    </row>
    <row r="21" spans="1:8" x14ac:dyDescent="0.25">
      <c r="A21" s="2">
        <v>46042</v>
      </c>
      <c r="B21" s="3" t="s">
        <v>10</v>
      </c>
      <c r="C21" s="3" t="s">
        <v>11</v>
      </c>
      <c r="D21" s="3" t="s">
        <v>9</v>
      </c>
      <c r="E21" s="3">
        <v>9</v>
      </c>
      <c r="F21" s="3">
        <v>1450</v>
      </c>
      <c r="G21" s="3">
        <f t="shared" si="0"/>
        <v>13050</v>
      </c>
      <c r="H21" s="3" t="str">
        <f t="shared" si="1"/>
        <v>Jan-2026</v>
      </c>
    </row>
    <row r="22" spans="1:8" x14ac:dyDescent="0.25">
      <c r="A22" s="2">
        <v>46043</v>
      </c>
      <c r="B22" s="3" t="s">
        <v>0</v>
      </c>
      <c r="C22" s="3" t="s">
        <v>1</v>
      </c>
      <c r="D22" s="3" t="s">
        <v>2</v>
      </c>
      <c r="E22" s="3">
        <v>3</v>
      </c>
      <c r="F22" s="3">
        <v>50500</v>
      </c>
      <c r="G22" s="3">
        <f t="shared" si="0"/>
        <v>151500</v>
      </c>
      <c r="H22" s="3" t="str">
        <f t="shared" si="1"/>
        <v>Jan-2026</v>
      </c>
    </row>
    <row r="23" spans="1:8" x14ac:dyDescent="0.25">
      <c r="A23" s="2">
        <v>46044</v>
      </c>
      <c r="B23" s="3" t="s">
        <v>3</v>
      </c>
      <c r="C23" s="3" t="s">
        <v>1</v>
      </c>
      <c r="D23" s="3" t="s">
        <v>4</v>
      </c>
      <c r="E23" s="3">
        <v>2</v>
      </c>
      <c r="F23" s="3">
        <v>22500</v>
      </c>
      <c r="G23" s="3">
        <f t="shared" si="0"/>
        <v>45000</v>
      </c>
      <c r="H23" s="3" t="str">
        <f t="shared" si="1"/>
        <v>Jan-2026</v>
      </c>
    </row>
    <row r="24" spans="1:8" x14ac:dyDescent="0.25">
      <c r="A24" s="2">
        <v>46045</v>
      </c>
      <c r="B24" s="3" t="s">
        <v>5</v>
      </c>
      <c r="C24" s="3" t="s">
        <v>6</v>
      </c>
      <c r="D24" s="3" t="s">
        <v>7</v>
      </c>
      <c r="E24" s="3">
        <v>7</v>
      </c>
      <c r="F24" s="3">
        <v>2900</v>
      </c>
      <c r="G24" s="3">
        <f t="shared" si="0"/>
        <v>20300</v>
      </c>
      <c r="H24" s="3" t="str">
        <f t="shared" si="1"/>
        <v>Jan-2026</v>
      </c>
    </row>
    <row r="25" spans="1:8" x14ac:dyDescent="0.25">
      <c r="A25" s="2">
        <v>46046</v>
      </c>
      <c r="B25" s="3" t="s">
        <v>8</v>
      </c>
      <c r="C25" s="3" t="s">
        <v>6</v>
      </c>
      <c r="D25" s="3" t="s">
        <v>9</v>
      </c>
      <c r="E25" s="3">
        <v>3</v>
      </c>
      <c r="F25" s="3">
        <v>7100</v>
      </c>
      <c r="G25" s="3">
        <f t="shared" si="0"/>
        <v>21300</v>
      </c>
      <c r="H25" s="3" t="str">
        <f t="shared" si="1"/>
        <v>Jan-2026</v>
      </c>
    </row>
    <row r="26" spans="1:8" x14ac:dyDescent="0.25">
      <c r="A26" s="2">
        <v>46047</v>
      </c>
      <c r="B26" s="3" t="s">
        <v>10</v>
      </c>
      <c r="C26" s="3" t="s">
        <v>11</v>
      </c>
      <c r="D26" s="3" t="s">
        <v>2</v>
      </c>
      <c r="E26" s="3">
        <v>11</v>
      </c>
      <c r="F26" s="3">
        <v>1550</v>
      </c>
      <c r="G26" s="3">
        <f t="shared" si="0"/>
        <v>17050</v>
      </c>
      <c r="H26" s="3" t="str">
        <f t="shared" si="1"/>
        <v>Jan-2026</v>
      </c>
    </row>
    <row r="27" spans="1:8" x14ac:dyDescent="0.25">
      <c r="A27" s="2">
        <v>46048</v>
      </c>
      <c r="B27" s="3" t="s">
        <v>0</v>
      </c>
      <c r="C27" s="3" t="s">
        <v>1</v>
      </c>
      <c r="D27" s="3" t="s">
        <v>4</v>
      </c>
      <c r="E27" s="3">
        <v>2</v>
      </c>
      <c r="F27" s="3">
        <v>51500</v>
      </c>
      <c r="G27" s="3">
        <f t="shared" si="0"/>
        <v>103000</v>
      </c>
      <c r="H27" s="3" t="str">
        <f t="shared" si="1"/>
        <v>Jan-2026</v>
      </c>
    </row>
    <row r="28" spans="1:8" x14ac:dyDescent="0.25">
      <c r="A28" s="2">
        <v>46049</v>
      </c>
      <c r="B28" s="3" t="s">
        <v>3</v>
      </c>
      <c r="C28" s="3" t="s">
        <v>1</v>
      </c>
      <c r="D28" s="3" t="s">
        <v>7</v>
      </c>
      <c r="E28" s="3">
        <v>5</v>
      </c>
      <c r="F28" s="3">
        <v>20500</v>
      </c>
      <c r="G28" s="3">
        <f t="shared" si="0"/>
        <v>102500</v>
      </c>
      <c r="H28" s="3" t="str">
        <f t="shared" si="1"/>
        <v>Jan-2026</v>
      </c>
    </row>
    <row r="29" spans="1:8" x14ac:dyDescent="0.25">
      <c r="A29" s="2">
        <v>46050</v>
      </c>
      <c r="B29" s="3" t="s">
        <v>5</v>
      </c>
      <c r="C29" s="3" t="s">
        <v>6</v>
      </c>
      <c r="D29" s="3" t="s">
        <v>9</v>
      </c>
      <c r="E29" s="3">
        <v>4</v>
      </c>
      <c r="F29" s="3">
        <v>3000</v>
      </c>
      <c r="G29" s="3">
        <f t="shared" si="0"/>
        <v>12000</v>
      </c>
      <c r="H29" s="3" t="str">
        <f t="shared" si="1"/>
        <v>Jan-2026</v>
      </c>
    </row>
    <row r="30" spans="1:8" x14ac:dyDescent="0.25">
      <c r="A30" s="2">
        <v>46051</v>
      </c>
      <c r="B30" s="3" t="s">
        <v>8</v>
      </c>
      <c r="C30" s="3" t="s">
        <v>6</v>
      </c>
      <c r="D30" s="3" t="s">
        <v>2</v>
      </c>
      <c r="E30" s="3">
        <v>2</v>
      </c>
      <c r="F30" s="3">
        <v>7600</v>
      </c>
      <c r="G30" s="3">
        <f t="shared" si="0"/>
        <v>15200</v>
      </c>
      <c r="H30" s="3" t="str">
        <f t="shared" si="1"/>
        <v>Jan-2026</v>
      </c>
    </row>
    <row r="31" spans="1:8" x14ac:dyDescent="0.25">
      <c r="A31" s="2">
        <v>46052</v>
      </c>
      <c r="B31" s="3" t="s">
        <v>10</v>
      </c>
      <c r="C31" s="3" t="s">
        <v>11</v>
      </c>
      <c r="D31" s="3" t="s">
        <v>4</v>
      </c>
      <c r="E31" s="3">
        <v>8</v>
      </c>
      <c r="F31" s="3">
        <v>1500</v>
      </c>
      <c r="G31" s="3">
        <f t="shared" si="0"/>
        <v>12000</v>
      </c>
      <c r="H31" s="3" t="str">
        <f t="shared" si="1"/>
        <v>Jan-2026</v>
      </c>
    </row>
    <row r="32" spans="1:8" x14ac:dyDescent="0.25">
      <c r="A32" s="2">
        <v>46053</v>
      </c>
      <c r="B32" s="3" t="s">
        <v>0</v>
      </c>
      <c r="C32" s="3" t="s">
        <v>1</v>
      </c>
      <c r="D32" s="3" t="s">
        <v>7</v>
      </c>
      <c r="E32" s="3">
        <v>1</v>
      </c>
      <c r="F32" s="3">
        <v>54000</v>
      </c>
      <c r="G32" s="3">
        <f t="shared" si="0"/>
        <v>54000</v>
      </c>
      <c r="H32" s="3" t="str">
        <f t="shared" si="1"/>
        <v>Jan-2026</v>
      </c>
    </row>
    <row r="33" spans="1:8" x14ac:dyDescent="0.25">
      <c r="A33" s="2">
        <v>46054</v>
      </c>
      <c r="B33" s="3" t="s">
        <v>3</v>
      </c>
      <c r="C33" s="3" t="s">
        <v>1</v>
      </c>
      <c r="D33" s="3" t="s">
        <v>9</v>
      </c>
      <c r="E33" s="3">
        <v>3</v>
      </c>
      <c r="F33" s="3">
        <v>21500</v>
      </c>
      <c r="G33" s="3">
        <f t="shared" si="0"/>
        <v>64500</v>
      </c>
      <c r="H33" s="3" t="str">
        <f t="shared" si="1"/>
        <v>Feb-2026</v>
      </c>
    </row>
    <row r="34" spans="1:8" x14ac:dyDescent="0.25">
      <c r="A34" s="2">
        <v>46055</v>
      </c>
      <c r="B34" s="3" t="s">
        <v>5</v>
      </c>
      <c r="C34" s="3" t="s">
        <v>6</v>
      </c>
      <c r="D34" s="3" t="s">
        <v>2</v>
      </c>
      <c r="E34" s="3">
        <v>6</v>
      </c>
      <c r="F34" s="3">
        <v>3050</v>
      </c>
      <c r="G34" s="3">
        <f t="shared" si="0"/>
        <v>18300</v>
      </c>
      <c r="H34" s="3" t="str">
        <f t="shared" si="1"/>
        <v>Feb-2026</v>
      </c>
    </row>
    <row r="35" spans="1:8" x14ac:dyDescent="0.25">
      <c r="A35" s="2">
        <v>46056</v>
      </c>
      <c r="B35" s="3" t="s">
        <v>8</v>
      </c>
      <c r="C35" s="3" t="s">
        <v>6</v>
      </c>
      <c r="D35" s="3" t="s">
        <v>4</v>
      </c>
      <c r="E35" s="3">
        <v>5</v>
      </c>
      <c r="F35" s="3">
        <v>6900</v>
      </c>
      <c r="G35" s="3">
        <f t="shared" si="0"/>
        <v>34500</v>
      </c>
      <c r="H35" s="3" t="str">
        <f t="shared" si="1"/>
        <v>Feb-2026</v>
      </c>
    </row>
    <row r="36" spans="1:8" x14ac:dyDescent="0.25">
      <c r="A36" s="2">
        <v>46057</v>
      </c>
      <c r="B36" s="3" t="s">
        <v>10</v>
      </c>
      <c r="C36" s="3" t="s">
        <v>11</v>
      </c>
      <c r="D36" s="3" t="s">
        <v>7</v>
      </c>
      <c r="E36" s="3">
        <v>12</v>
      </c>
      <c r="F36" s="3">
        <v>1400</v>
      </c>
      <c r="G36" s="3">
        <f t="shared" si="0"/>
        <v>16800</v>
      </c>
      <c r="H36" s="3" t="str">
        <f t="shared" si="1"/>
        <v>Feb-2026</v>
      </c>
    </row>
    <row r="37" spans="1:8" x14ac:dyDescent="0.25">
      <c r="A37" s="2">
        <v>46058</v>
      </c>
      <c r="B37" s="3" t="s">
        <v>0</v>
      </c>
      <c r="C37" s="3" t="s">
        <v>1</v>
      </c>
      <c r="D37" s="3" t="s">
        <v>9</v>
      </c>
      <c r="E37" s="3">
        <v>2</v>
      </c>
      <c r="F37" s="3">
        <v>52500</v>
      </c>
      <c r="G37" s="3">
        <f t="shared" si="0"/>
        <v>105000</v>
      </c>
      <c r="H37" s="3" t="str">
        <f t="shared" si="1"/>
        <v>Feb-2026</v>
      </c>
    </row>
    <row r="38" spans="1:8" x14ac:dyDescent="0.25">
      <c r="A38" s="2">
        <v>46059</v>
      </c>
      <c r="B38" s="3" t="s">
        <v>3</v>
      </c>
      <c r="C38" s="3" t="s">
        <v>1</v>
      </c>
      <c r="D38" s="3" t="s">
        <v>2</v>
      </c>
      <c r="E38" s="3">
        <v>4</v>
      </c>
      <c r="F38" s="3">
        <v>19800</v>
      </c>
      <c r="G38" s="3">
        <f t="shared" si="0"/>
        <v>79200</v>
      </c>
      <c r="H38" s="3" t="str">
        <f t="shared" si="1"/>
        <v>Feb-2026</v>
      </c>
    </row>
    <row r="39" spans="1:8" x14ac:dyDescent="0.25">
      <c r="A39" s="2">
        <v>46060</v>
      </c>
      <c r="B39" s="3" t="s">
        <v>5</v>
      </c>
      <c r="C39" s="3" t="s">
        <v>6</v>
      </c>
      <c r="D39" s="3" t="s">
        <v>4</v>
      </c>
      <c r="E39" s="3">
        <v>3</v>
      </c>
      <c r="F39" s="3">
        <v>3150</v>
      </c>
      <c r="G39" s="3">
        <f t="shared" si="0"/>
        <v>9450</v>
      </c>
      <c r="H39" s="3" t="str">
        <f t="shared" si="1"/>
        <v>Feb-2026</v>
      </c>
    </row>
    <row r="40" spans="1:8" x14ac:dyDescent="0.25">
      <c r="A40" s="2">
        <v>46061</v>
      </c>
      <c r="B40" s="3" t="s">
        <v>8</v>
      </c>
      <c r="C40" s="3" t="s">
        <v>6</v>
      </c>
      <c r="D40" s="3" t="s">
        <v>7</v>
      </c>
      <c r="E40" s="3">
        <v>4</v>
      </c>
      <c r="F40" s="3">
        <v>7400</v>
      </c>
      <c r="G40" s="3">
        <f t="shared" si="0"/>
        <v>29600</v>
      </c>
      <c r="H40" s="3" t="str">
        <f t="shared" si="1"/>
        <v>Feb-2026</v>
      </c>
    </row>
    <row r="41" spans="1:8" x14ac:dyDescent="0.25">
      <c r="A41" s="2">
        <v>46062</v>
      </c>
      <c r="B41" s="3" t="s">
        <v>10</v>
      </c>
      <c r="C41" s="3" t="s">
        <v>11</v>
      </c>
      <c r="D41" s="3" t="s">
        <v>9</v>
      </c>
      <c r="E41" s="3">
        <v>10</v>
      </c>
      <c r="F41" s="3">
        <v>1500</v>
      </c>
      <c r="G41" s="3">
        <f t="shared" si="0"/>
        <v>15000</v>
      </c>
      <c r="H41" s="3" t="str">
        <f t="shared" si="1"/>
        <v>Feb-2026</v>
      </c>
    </row>
    <row r="42" spans="1:8" x14ac:dyDescent="0.25">
      <c r="A42" s="2">
        <v>46063</v>
      </c>
      <c r="B42" s="3" t="s">
        <v>0</v>
      </c>
      <c r="C42" s="3" t="s">
        <v>1</v>
      </c>
      <c r="D42" s="3" t="s">
        <v>2</v>
      </c>
      <c r="E42" s="3">
        <v>2</v>
      </c>
      <c r="F42" s="3">
        <v>50000</v>
      </c>
      <c r="G42" s="3">
        <f t="shared" si="0"/>
        <v>100000</v>
      </c>
      <c r="H42" s="3" t="str">
        <f t="shared" si="1"/>
        <v>Feb-2026</v>
      </c>
    </row>
    <row r="43" spans="1:8" x14ac:dyDescent="0.25">
      <c r="A43" s="2">
        <v>46064</v>
      </c>
      <c r="B43" s="3" t="s">
        <v>3</v>
      </c>
      <c r="C43" s="3" t="s">
        <v>1</v>
      </c>
      <c r="D43" s="3" t="s">
        <v>4</v>
      </c>
      <c r="E43" s="3">
        <v>5</v>
      </c>
      <c r="F43" s="3">
        <v>22000</v>
      </c>
      <c r="G43" s="3">
        <f t="shared" si="0"/>
        <v>110000</v>
      </c>
      <c r="H43" s="3" t="str">
        <f t="shared" si="1"/>
        <v>Feb-2026</v>
      </c>
    </row>
    <row r="44" spans="1:8" x14ac:dyDescent="0.25">
      <c r="A44" s="2">
        <v>46065</v>
      </c>
      <c r="B44" s="3" t="s">
        <v>5</v>
      </c>
      <c r="C44" s="3" t="s">
        <v>6</v>
      </c>
      <c r="D44" s="3" t="s">
        <v>7</v>
      </c>
      <c r="E44" s="3">
        <v>4</v>
      </c>
      <c r="F44" s="3">
        <v>2950</v>
      </c>
      <c r="G44" s="3">
        <f t="shared" si="0"/>
        <v>11800</v>
      </c>
      <c r="H44" s="3" t="str">
        <f t="shared" si="1"/>
        <v>Feb-2026</v>
      </c>
    </row>
    <row r="45" spans="1:8" x14ac:dyDescent="0.25">
      <c r="A45" s="2">
        <v>46066</v>
      </c>
      <c r="B45" s="3" t="s">
        <v>8</v>
      </c>
      <c r="C45" s="3" t="s">
        <v>6</v>
      </c>
      <c r="D45" s="3" t="s">
        <v>9</v>
      </c>
      <c r="E45" s="3">
        <v>3</v>
      </c>
      <c r="F45" s="3">
        <v>7050</v>
      </c>
      <c r="G45" s="3">
        <f t="shared" si="0"/>
        <v>21150</v>
      </c>
      <c r="H45" s="3" t="str">
        <f t="shared" si="1"/>
        <v>Feb-2026</v>
      </c>
    </row>
    <row r="46" spans="1:8" x14ac:dyDescent="0.25">
      <c r="A46" s="2">
        <v>46067</v>
      </c>
      <c r="B46" s="3" t="s">
        <v>10</v>
      </c>
      <c r="C46" s="3" t="s">
        <v>11</v>
      </c>
      <c r="D46" s="3" t="s">
        <v>2</v>
      </c>
      <c r="E46" s="3">
        <v>9</v>
      </c>
      <c r="F46" s="3">
        <v>1600</v>
      </c>
      <c r="G46" s="3">
        <f t="shared" si="0"/>
        <v>14400</v>
      </c>
      <c r="H46" s="3" t="str">
        <f t="shared" si="1"/>
        <v>Feb-2026</v>
      </c>
    </row>
    <row r="47" spans="1:8" x14ac:dyDescent="0.25">
      <c r="A47" s="2">
        <v>46068</v>
      </c>
      <c r="B47" s="3" t="s">
        <v>0</v>
      </c>
      <c r="C47" s="3" t="s">
        <v>1</v>
      </c>
      <c r="D47" s="3" t="s">
        <v>4</v>
      </c>
      <c r="E47" s="3">
        <v>1</v>
      </c>
      <c r="F47" s="3">
        <v>53500</v>
      </c>
      <c r="G47" s="3">
        <f t="shared" si="0"/>
        <v>53500</v>
      </c>
      <c r="H47" s="3" t="str">
        <f t="shared" si="1"/>
        <v>Feb-2026</v>
      </c>
    </row>
    <row r="48" spans="1:8" x14ac:dyDescent="0.25">
      <c r="A48" s="2">
        <v>46069</v>
      </c>
      <c r="B48" s="3" t="s">
        <v>3</v>
      </c>
      <c r="C48" s="3" t="s">
        <v>1</v>
      </c>
      <c r="D48" s="3" t="s">
        <v>7</v>
      </c>
      <c r="E48" s="3">
        <v>6</v>
      </c>
      <c r="F48" s="3">
        <v>21000</v>
      </c>
      <c r="G48" s="3">
        <f t="shared" si="0"/>
        <v>126000</v>
      </c>
      <c r="H48" s="3" t="str">
        <f t="shared" si="1"/>
        <v>Feb-2026</v>
      </c>
    </row>
    <row r="49" spans="1:8" x14ac:dyDescent="0.25">
      <c r="A49" s="2">
        <v>46070</v>
      </c>
      <c r="B49" s="3" t="s">
        <v>5</v>
      </c>
      <c r="C49" s="3" t="s">
        <v>6</v>
      </c>
      <c r="D49" s="3" t="s">
        <v>9</v>
      </c>
      <c r="E49" s="3">
        <v>5</v>
      </c>
      <c r="F49" s="3">
        <v>2850</v>
      </c>
      <c r="G49" s="3">
        <f t="shared" si="0"/>
        <v>14250</v>
      </c>
      <c r="H49" s="3" t="str">
        <f t="shared" si="1"/>
        <v>Feb-2026</v>
      </c>
    </row>
    <row r="50" spans="1:8" x14ac:dyDescent="0.25">
      <c r="A50" s="2">
        <v>46071</v>
      </c>
      <c r="B50" s="3" t="s">
        <v>8</v>
      </c>
      <c r="C50" s="3" t="s">
        <v>6</v>
      </c>
      <c r="D50" s="3" t="s">
        <v>2</v>
      </c>
      <c r="E50" s="3">
        <v>2</v>
      </c>
      <c r="F50" s="3">
        <v>7500</v>
      </c>
      <c r="G50" s="3">
        <f t="shared" si="0"/>
        <v>15000</v>
      </c>
      <c r="H50" s="3" t="str">
        <f t="shared" si="1"/>
        <v>Feb-2026</v>
      </c>
    </row>
    <row r="51" spans="1:8" x14ac:dyDescent="0.25">
      <c r="A51" s="2">
        <v>46072</v>
      </c>
      <c r="B51" s="3" t="s">
        <v>10</v>
      </c>
      <c r="C51" s="3" t="s">
        <v>11</v>
      </c>
      <c r="D51" s="3" t="s">
        <v>4</v>
      </c>
      <c r="E51" s="3">
        <v>7</v>
      </c>
      <c r="F51" s="3">
        <v>1450</v>
      </c>
      <c r="G51" s="3">
        <f t="shared" si="0"/>
        <v>10150</v>
      </c>
      <c r="H51" s="3" t="str">
        <f t="shared" si="1"/>
        <v>Feb-2026</v>
      </c>
    </row>
    <row r="52" spans="1:8" x14ac:dyDescent="0.25">
      <c r="A52" s="2">
        <v>46073</v>
      </c>
      <c r="B52" s="3" t="s">
        <v>0</v>
      </c>
      <c r="C52" s="3" t="s">
        <v>1</v>
      </c>
      <c r="D52" s="3" t="s">
        <v>7</v>
      </c>
      <c r="E52" s="3">
        <v>3</v>
      </c>
      <c r="F52" s="3">
        <v>51000</v>
      </c>
      <c r="G52" s="3">
        <f t="shared" si="0"/>
        <v>153000</v>
      </c>
      <c r="H52" s="3" t="str">
        <f t="shared" si="1"/>
        <v>Feb-2026</v>
      </c>
    </row>
    <row r="53" spans="1:8" x14ac:dyDescent="0.25">
      <c r="A53" s="2">
        <v>46074</v>
      </c>
      <c r="B53" s="3" t="s">
        <v>3</v>
      </c>
      <c r="C53" s="3" t="s">
        <v>1</v>
      </c>
      <c r="D53" s="3" t="s">
        <v>9</v>
      </c>
      <c r="E53" s="3">
        <v>2</v>
      </c>
      <c r="F53" s="3">
        <v>22500</v>
      </c>
      <c r="G53" s="3">
        <f t="shared" si="0"/>
        <v>45000</v>
      </c>
      <c r="H53" s="3" t="str">
        <f t="shared" si="1"/>
        <v>Feb-2026</v>
      </c>
    </row>
    <row r="54" spans="1:8" x14ac:dyDescent="0.25">
      <c r="A54" s="2">
        <v>46075</v>
      </c>
      <c r="B54" s="3" t="s">
        <v>5</v>
      </c>
      <c r="C54" s="3" t="s">
        <v>6</v>
      </c>
      <c r="D54" s="3" t="s">
        <v>2</v>
      </c>
      <c r="E54" s="3">
        <v>8</v>
      </c>
      <c r="F54" s="3">
        <v>3000</v>
      </c>
      <c r="G54" s="3">
        <f t="shared" si="0"/>
        <v>24000</v>
      </c>
      <c r="H54" s="3" t="str">
        <f t="shared" si="1"/>
        <v>Feb-2026</v>
      </c>
    </row>
    <row r="55" spans="1:8" x14ac:dyDescent="0.25">
      <c r="A55" s="2">
        <v>46076</v>
      </c>
      <c r="B55" s="3" t="s">
        <v>8</v>
      </c>
      <c r="C55" s="3" t="s">
        <v>6</v>
      </c>
      <c r="D55" s="3" t="s">
        <v>4</v>
      </c>
      <c r="E55" s="3">
        <v>4</v>
      </c>
      <c r="F55" s="3">
        <v>7000</v>
      </c>
      <c r="G55" s="3">
        <f t="shared" si="0"/>
        <v>28000</v>
      </c>
      <c r="H55" s="3" t="str">
        <f t="shared" si="1"/>
        <v>Feb-2026</v>
      </c>
    </row>
    <row r="56" spans="1:8" x14ac:dyDescent="0.25">
      <c r="A56" s="2">
        <v>46077</v>
      </c>
      <c r="B56" s="3" t="s">
        <v>10</v>
      </c>
      <c r="C56" s="3" t="s">
        <v>11</v>
      </c>
      <c r="D56" s="3" t="s">
        <v>7</v>
      </c>
      <c r="E56" s="3">
        <v>11</v>
      </c>
      <c r="F56" s="3">
        <v>1500</v>
      </c>
      <c r="G56" s="3">
        <f t="shared" si="0"/>
        <v>16500</v>
      </c>
      <c r="H56" s="3" t="str">
        <f t="shared" si="1"/>
        <v>Feb-2026</v>
      </c>
    </row>
    <row r="57" spans="1:8" x14ac:dyDescent="0.25">
      <c r="A57" s="2">
        <v>46078</v>
      </c>
      <c r="B57" s="3" t="s">
        <v>0</v>
      </c>
      <c r="C57" s="3" t="s">
        <v>1</v>
      </c>
      <c r="D57" s="3" t="s">
        <v>9</v>
      </c>
      <c r="E57" s="3">
        <v>2</v>
      </c>
      <c r="F57" s="3">
        <v>52000</v>
      </c>
      <c r="G57" s="3">
        <f t="shared" si="0"/>
        <v>104000</v>
      </c>
      <c r="H57" s="3" t="str">
        <f t="shared" si="1"/>
        <v>Feb-2026</v>
      </c>
    </row>
    <row r="58" spans="1:8" x14ac:dyDescent="0.25">
      <c r="A58" s="2">
        <v>46079</v>
      </c>
      <c r="B58" s="3" t="s">
        <v>3</v>
      </c>
      <c r="C58" s="3" t="s">
        <v>1</v>
      </c>
      <c r="D58" s="3" t="s">
        <v>2</v>
      </c>
      <c r="E58" s="3">
        <v>5</v>
      </c>
      <c r="F58" s="3">
        <v>20500</v>
      </c>
      <c r="G58" s="3">
        <f t="shared" si="0"/>
        <v>102500</v>
      </c>
      <c r="H58" s="3" t="str">
        <f t="shared" si="1"/>
        <v>Feb-2026</v>
      </c>
    </row>
    <row r="59" spans="1:8" x14ac:dyDescent="0.25">
      <c r="A59" s="2">
        <v>46080</v>
      </c>
      <c r="B59" s="3" t="s">
        <v>5</v>
      </c>
      <c r="C59" s="3" t="s">
        <v>6</v>
      </c>
      <c r="D59" s="3" t="s">
        <v>4</v>
      </c>
      <c r="E59" s="3">
        <v>6</v>
      </c>
      <c r="F59" s="3">
        <v>2900</v>
      </c>
      <c r="G59" s="3">
        <f t="shared" si="0"/>
        <v>17400</v>
      </c>
      <c r="H59" s="3" t="str">
        <f t="shared" si="1"/>
        <v>Feb-2026</v>
      </c>
    </row>
    <row r="60" spans="1:8" x14ac:dyDescent="0.25">
      <c r="A60" s="2">
        <v>46081</v>
      </c>
      <c r="B60" s="3" t="s">
        <v>8</v>
      </c>
      <c r="C60" s="3" t="s">
        <v>6</v>
      </c>
      <c r="D60" s="3" t="s">
        <v>7</v>
      </c>
      <c r="E60" s="3">
        <v>3</v>
      </c>
      <c r="F60" s="3">
        <v>7300</v>
      </c>
      <c r="G60" s="3">
        <f t="shared" si="0"/>
        <v>21900</v>
      </c>
      <c r="H60" s="3" t="str">
        <f t="shared" si="1"/>
        <v>Feb-2026</v>
      </c>
    </row>
    <row r="61" spans="1:8" x14ac:dyDescent="0.25">
      <c r="A61" s="2">
        <v>46082</v>
      </c>
      <c r="B61" s="3" t="s">
        <v>10</v>
      </c>
      <c r="C61" s="3" t="s">
        <v>11</v>
      </c>
      <c r="D61" s="3" t="s">
        <v>9</v>
      </c>
      <c r="E61" s="3">
        <v>8</v>
      </c>
      <c r="F61" s="3">
        <v>1550</v>
      </c>
      <c r="G61" s="3">
        <f t="shared" si="0"/>
        <v>12400</v>
      </c>
      <c r="H61" s="3" t="str">
        <f t="shared" si="1"/>
        <v>Mar-2026</v>
      </c>
    </row>
    <row r="62" spans="1:8" x14ac:dyDescent="0.25">
      <c r="A62" s="2">
        <v>46083</v>
      </c>
      <c r="B62" s="3" t="s">
        <v>0</v>
      </c>
      <c r="C62" s="3" t="s">
        <v>1</v>
      </c>
      <c r="D62" s="3" t="s">
        <v>2</v>
      </c>
      <c r="E62" s="3">
        <v>1</v>
      </c>
      <c r="F62" s="3">
        <v>54500</v>
      </c>
      <c r="G62" s="3">
        <f t="shared" si="0"/>
        <v>54500</v>
      </c>
      <c r="H62" s="3" t="str">
        <f t="shared" si="1"/>
        <v>Mar-2026</v>
      </c>
    </row>
    <row r="63" spans="1:8" x14ac:dyDescent="0.25">
      <c r="A63" s="2">
        <v>46084</v>
      </c>
      <c r="B63" s="3" t="s">
        <v>3</v>
      </c>
      <c r="C63" s="3" t="s">
        <v>1</v>
      </c>
      <c r="D63" s="3" t="s">
        <v>4</v>
      </c>
      <c r="E63" s="3">
        <v>4</v>
      </c>
      <c r="F63" s="3">
        <v>21500</v>
      </c>
      <c r="G63" s="3">
        <f t="shared" si="0"/>
        <v>86000</v>
      </c>
      <c r="H63" s="3" t="str">
        <f t="shared" si="1"/>
        <v>Mar-2026</v>
      </c>
    </row>
    <row r="64" spans="1:8" x14ac:dyDescent="0.25">
      <c r="A64" s="2">
        <v>46085</v>
      </c>
      <c r="B64" s="3" t="s">
        <v>5</v>
      </c>
      <c r="C64" s="3" t="s">
        <v>6</v>
      </c>
      <c r="D64" s="3" t="s">
        <v>7</v>
      </c>
      <c r="E64" s="3">
        <v>5</v>
      </c>
      <c r="F64" s="3">
        <v>3100</v>
      </c>
      <c r="G64" s="3">
        <f t="shared" si="0"/>
        <v>15500</v>
      </c>
      <c r="H64" s="3" t="str">
        <f t="shared" si="1"/>
        <v>Mar-2026</v>
      </c>
    </row>
    <row r="65" spans="1:8" x14ac:dyDescent="0.25">
      <c r="A65" s="2">
        <v>46086</v>
      </c>
      <c r="B65" s="3" t="s">
        <v>8</v>
      </c>
      <c r="C65" s="3" t="s">
        <v>6</v>
      </c>
      <c r="D65" s="3" t="s">
        <v>9</v>
      </c>
      <c r="E65" s="3">
        <v>2</v>
      </c>
      <c r="F65" s="3">
        <v>7200</v>
      </c>
      <c r="G65" s="3">
        <f t="shared" si="0"/>
        <v>14400</v>
      </c>
      <c r="H65" s="3" t="str">
        <f t="shared" si="1"/>
        <v>Mar-2026</v>
      </c>
    </row>
    <row r="66" spans="1:8" x14ac:dyDescent="0.25">
      <c r="A66" s="2">
        <v>46087</v>
      </c>
      <c r="B66" s="3" t="s">
        <v>10</v>
      </c>
      <c r="C66" s="3" t="s">
        <v>11</v>
      </c>
      <c r="D66" s="3" t="s">
        <v>2</v>
      </c>
      <c r="E66" s="3">
        <v>10</v>
      </c>
      <c r="F66" s="3">
        <v>1450</v>
      </c>
      <c r="G66" s="3">
        <f t="shared" ref="G66:G101" si="2">E66*F66</f>
        <v>14500</v>
      </c>
      <c r="H66" s="3" t="str">
        <f t="shared" ref="H66:H101" si="3">TEXT(A66,"MMM-YYYY")</f>
        <v>Mar-2026</v>
      </c>
    </row>
    <row r="67" spans="1:8" x14ac:dyDescent="0.25">
      <c r="A67" s="2">
        <v>46088</v>
      </c>
      <c r="B67" s="3" t="s">
        <v>0</v>
      </c>
      <c r="C67" s="3" t="s">
        <v>1</v>
      </c>
      <c r="D67" s="3" t="s">
        <v>4</v>
      </c>
      <c r="E67" s="3">
        <v>2</v>
      </c>
      <c r="F67" s="3">
        <v>50000</v>
      </c>
      <c r="G67" s="3">
        <f t="shared" si="2"/>
        <v>100000</v>
      </c>
      <c r="H67" s="3" t="str">
        <f t="shared" si="3"/>
        <v>Mar-2026</v>
      </c>
    </row>
    <row r="68" spans="1:8" x14ac:dyDescent="0.25">
      <c r="A68" s="2">
        <v>46089</v>
      </c>
      <c r="B68" s="3" t="s">
        <v>3</v>
      </c>
      <c r="C68" s="3" t="s">
        <v>1</v>
      </c>
      <c r="D68" s="3" t="s">
        <v>7</v>
      </c>
      <c r="E68" s="3">
        <v>3</v>
      </c>
      <c r="F68" s="3">
        <v>22000</v>
      </c>
      <c r="G68" s="3">
        <f t="shared" si="2"/>
        <v>66000</v>
      </c>
      <c r="H68" s="3" t="str">
        <f t="shared" si="3"/>
        <v>Mar-2026</v>
      </c>
    </row>
    <row r="69" spans="1:8" x14ac:dyDescent="0.25">
      <c r="A69" s="2">
        <v>46090</v>
      </c>
      <c r="B69" s="3" t="s">
        <v>5</v>
      </c>
      <c r="C69" s="3" t="s">
        <v>6</v>
      </c>
      <c r="D69" s="3" t="s">
        <v>9</v>
      </c>
      <c r="E69" s="3">
        <v>7</v>
      </c>
      <c r="F69" s="3">
        <v>3000</v>
      </c>
      <c r="G69" s="3">
        <f t="shared" si="2"/>
        <v>21000</v>
      </c>
      <c r="H69" s="3" t="str">
        <f t="shared" si="3"/>
        <v>Mar-2026</v>
      </c>
    </row>
    <row r="70" spans="1:8" x14ac:dyDescent="0.25">
      <c r="A70" s="2">
        <v>46091</v>
      </c>
      <c r="B70" s="3" t="s">
        <v>8</v>
      </c>
      <c r="C70" s="3" t="s">
        <v>6</v>
      </c>
      <c r="D70" s="3" t="s">
        <v>2</v>
      </c>
      <c r="E70" s="3">
        <v>4</v>
      </c>
      <c r="F70" s="3">
        <v>7100</v>
      </c>
      <c r="G70" s="3">
        <f t="shared" si="2"/>
        <v>28400</v>
      </c>
      <c r="H70" s="3" t="str">
        <f t="shared" si="3"/>
        <v>Mar-2026</v>
      </c>
    </row>
    <row r="71" spans="1:8" x14ac:dyDescent="0.25">
      <c r="A71" s="2">
        <v>46092</v>
      </c>
      <c r="B71" s="3" t="s">
        <v>10</v>
      </c>
      <c r="C71" s="3" t="s">
        <v>11</v>
      </c>
      <c r="D71" s="3" t="s">
        <v>4</v>
      </c>
      <c r="E71" s="3">
        <v>12</v>
      </c>
      <c r="F71" s="3">
        <v>1500</v>
      </c>
      <c r="G71" s="3">
        <f t="shared" si="2"/>
        <v>18000</v>
      </c>
      <c r="H71" s="3" t="str">
        <f t="shared" si="3"/>
        <v>Mar-2026</v>
      </c>
    </row>
    <row r="72" spans="1:8" x14ac:dyDescent="0.25">
      <c r="A72" s="2">
        <v>46093</v>
      </c>
      <c r="B72" s="3" t="s">
        <v>0</v>
      </c>
      <c r="C72" s="3" t="s">
        <v>1</v>
      </c>
      <c r="D72" s="3" t="s">
        <v>7</v>
      </c>
      <c r="E72" s="3">
        <v>1</v>
      </c>
      <c r="F72" s="3">
        <v>53000</v>
      </c>
      <c r="G72" s="3">
        <f t="shared" si="2"/>
        <v>53000</v>
      </c>
      <c r="H72" s="3" t="str">
        <f t="shared" si="3"/>
        <v>Mar-2026</v>
      </c>
    </row>
    <row r="73" spans="1:8" x14ac:dyDescent="0.25">
      <c r="A73" s="2">
        <v>46094</v>
      </c>
      <c r="B73" s="3" t="s">
        <v>3</v>
      </c>
      <c r="C73" s="3" t="s">
        <v>1</v>
      </c>
      <c r="D73" s="3" t="s">
        <v>9</v>
      </c>
      <c r="E73" s="3">
        <v>6</v>
      </c>
      <c r="F73" s="3">
        <v>20000</v>
      </c>
      <c r="G73" s="3">
        <f t="shared" si="2"/>
        <v>120000</v>
      </c>
      <c r="H73" s="3" t="str">
        <f t="shared" si="3"/>
        <v>Mar-2026</v>
      </c>
    </row>
    <row r="74" spans="1:8" x14ac:dyDescent="0.25">
      <c r="A74" s="2">
        <v>46095</v>
      </c>
      <c r="B74" s="3" t="s">
        <v>5</v>
      </c>
      <c r="C74" s="3" t="s">
        <v>6</v>
      </c>
      <c r="D74" s="3" t="s">
        <v>2</v>
      </c>
      <c r="E74" s="3">
        <v>5</v>
      </c>
      <c r="F74" s="3">
        <v>3200</v>
      </c>
      <c r="G74" s="3">
        <f t="shared" si="2"/>
        <v>16000</v>
      </c>
      <c r="H74" s="3" t="str">
        <f t="shared" si="3"/>
        <v>Mar-2026</v>
      </c>
    </row>
    <row r="75" spans="1:8" x14ac:dyDescent="0.25">
      <c r="A75" s="2">
        <v>46096</v>
      </c>
      <c r="B75" s="3" t="s">
        <v>8</v>
      </c>
      <c r="C75" s="3" t="s">
        <v>6</v>
      </c>
      <c r="D75" s="3" t="s">
        <v>4</v>
      </c>
      <c r="E75" s="3">
        <v>3</v>
      </c>
      <c r="F75" s="3">
        <v>6800</v>
      </c>
      <c r="G75" s="3">
        <f t="shared" si="2"/>
        <v>20400</v>
      </c>
      <c r="H75" s="3" t="str">
        <f t="shared" si="3"/>
        <v>Mar-2026</v>
      </c>
    </row>
    <row r="76" spans="1:8" x14ac:dyDescent="0.25">
      <c r="A76" s="2">
        <v>46097</v>
      </c>
      <c r="B76" s="3" t="s">
        <v>10</v>
      </c>
      <c r="C76" s="3" t="s">
        <v>11</v>
      </c>
      <c r="D76" s="3" t="s">
        <v>7</v>
      </c>
      <c r="E76" s="3">
        <v>9</v>
      </c>
      <c r="F76" s="3">
        <v>1600</v>
      </c>
      <c r="G76" s="3">
        <f t="shared" si="2"/>
        <v>14400</v>
      </c>
      <c r="H76" s="3" t="str">
        <f t="shared" si="3"/>
        <v>Mar-2026</v>
      </c>
    </row>
    <row r="77" spans="1:8" x14ac:dyDescent="0.25">
      <c r="A77" s="2">
        <v>46098</v>
      </c>
      <c r="B77" s="3" t="s">
        <v>0</v>
      </c>
      <c r="C77" s="3" t="s">
        <v>1</v>
      </c>
      <c r="D77" s="3" t="s">
        <v>9</v>
      </c>
      <c r="E77" s="3">
        <v>2</v>
      </c>
      <c r="F77" s="3">
        <v>51500</v>
      </c>
      <c r="G77" s="3">
        <f t="shared" si="2"/>
        <v>103000</v>
      </c>
      <c r="H77" s="3" t="str">
        <f t="shared" si="3"/>
        <v>Mar-2026</v>
      </c>
    </row>
    <row r="78" spans="1:8" x14ac:dyDescent="0.25">
      <c r="A78" s="2">
        <v>46099</v>
      </c>
      <c r="B78" s="3" t="s">
        <v>3</v>
      </c>
      <c r="C78" s="3" t="s">
        <v>1</v>
      </c>
      <c r="D78" s="3" t="s">
        <v>2</v>
      </c>
      <c r="E78" s="3">
        <v>4</v>
      </c>
      <c r="F78" s="3">
        <v>21000</v>
      </c>
      <c r="G78" s="3">
        <f t="shared" si="2"/>
        <v>84000</v>
      </c>
      <c r="H78" s="3" t="str">
        <f t="shared" si="3"/>
        <v>Mar-2026</v>
      </c>
    </row>
    <row r="79" spans="1:8" x14ac:dyDescent="0.25">
      <c r="A79" s="2">
        <v>46100</v>
      </c>
      <c r="B79" s="3" t="s">
        <v>5</v>
      </c>
      <c r="C79" s="3" t="s">
        <v>6</v>
      </c>
      <c r="D79" s="3" t="s">
        <v>4</v>
      </c>
      <c r="E79" s="3">
        <v>6</v>
      </c>
      <c r="F79" s="3">
        <v>2950</v>
      </c>
      <c r="G79" s="3">
        <f t="shared" si="2"/>
        <v>17700</v>
      </c>
      <c r="H79" s="3" t="str">
        <f t="shared" si="3"/>
        <v>Mar-2026</v>
      </c>
    </row>
    <row r="80" spans="1:8" x14ac:dyDescent="0.25">
      <c r="A80" s="2">
        <v>46101</v>
      </c>
      <c r="B80" s="3" t="s">
        <v>8</v>
      </c>
      <c r="C80" s="3" t="s">
        <v>6</v>
      </c>
      <c r="D80" s="3" t="s">
        <v>7</v>
      </c>
      <c r="E80" s="3">
        <v>5</v>
      </c>
      <c r="F80" s="3">
        <v>7400</v>
      </c>
      <c r="G80" s="3">
        <f t="shared" si="2"/>
        <v>37000</v>
      </c>
      <c r="H80" s="3" t="str">
        <f t="shared" si="3"/>
        <v>Mar-2026</v>
      </c>
    </row>
    <row r="81" spans="1:8" x14ac:dyDescent="0.25">
      <c r="A81" s="2">
        <v>46102</v>
      </c>
      <c r="B81" s="3" t="s">
        <v>10</v>
      </c>
      <c r="C81" s="3" t="s">
        <v>11</v>
      </c>
      <c r="D81" s="3" t="s">
        <v>9</v>
      </c>
      <c r="E81" s="3">
        <v>7</v>
      </c>
      <c r="F81" s="3">
        <v>1500</v>
      </c>
      <c r="G81" s="3">
        <f t="shared" si="2"/>
        <v>10500</v>
      </c>
      <c r="H81" s="3" t="str">
        <f t="shared" si="3"/>
        <v>Mar-2026</v>
      </c>
    </row>
    <row r="82" spans="1:8" x14ac:dyDescent="0.25">
      <c r="A82" s="2">
        <v>46103</v>
      </c>
      <c r="B82" s="3" t="s">
        <v>0</v>
      </c>
      <c r="C82" s="3" t="s">
        <v>1</v>
      </c>
      <c r="D82" s="3" t="s">
        <v>2</v>
      </c>
      <c r="E82" s="3">
        <v>3</v>
      </c>
      <c r="F82" s="3">
        <v>50500</v>
      </c>
      <c r="G82" s="3">
        <f t="shared" si="2"/>
        <v>151500</v>
      </c>
      <c r="H82" s="3" t="str">
        <f t="shared" si="3"/>
        <v>Mar-2026</v>
      </c>
    </row>
    <row r="83" spans="1:8" x14ac:dyDescent="0.25">
      <c r="A83" s="2">
        <v>46104</v>
      </c>
      <c r="B83" s="3" t="s">
        <v>3</v>
      </c>
      <c r="C83" s="3" t="s">
        <v>1</v>
      </c>
      <c r="D83" s="3" t="s">
        <v>4</v>
      </c>
      <c r="E83" s="3">
        <v>2</v>
      </c>
      <c r="F83" s="3">
        <v>22500</v>
      </c>
      <c r="G83" s="3">
        <f t="shared" si="2"/>
        <v>45000</v>
      </c>
      <c r="H83" s="3" t="str">
        <f t="shared" si="3"/>
        <v>Mar-2026</v>
      </c>
    </row>
    <row r="84" spans="1:8" x14ac:dyDescent="0.25">
      <c r="A84" s="2">
        <v>46105</v>
      </c>
      <c r="B84" s="3" t="s">
        <v>5</v>
      </c>
      <c r="C84" s="3" t="s">
        <v>6</v>
      </c>
      <c r="D84" s="3" t="s">
        <v>7</v>
      </c>
      <c r="E84" s="3">
        <v>4</v>
      </c>
      <c r="F84" s="3">
        <v>2850</v>
      </c>
      <c r="G84" s="3">
        <f t="shared" si="2"/>
        <v>11400</v>
      </c>
      <c r="H84" s="3" t="str">
        <f t="shared" si="3"/>
        <v>Mar-2026</v>
      </c>
    </row>
    <row r="85" spans="1:8" x14ac:dyDescent="0.25">
      <c r="A85" s="2">
        <v>46106</v>
      </c>
      <c r="B85" s="3" t="s">
        <v>8</v>
      </c>
      <c r="C85" s="3" t="s">
        <v>6</v>
      </c>
      <c r="D85" s="3" t="s">
        <v>9</v>
      </c>
      <c r="E85" s="3">
        <v>3</v>
      </c>
      <c r="F85" s="3">
        <v>7000</v>
      </c>
      <c r="G85" s="3">
        <f t="shared" si="2"/>
        <v>21000</v>
      </c>
      <c r="H85" s="3" t="str">
        <f t="shared" si="3"/>
        <v>Mar-2026</v>
      </c>
    </row>
    <row r="86" spans="1:8" x14ac:dyDescent="0.25">
      <c r="A86" s="2">
        <v>46107</v>
      </c>
      <c r="B86" s="3" t="s">
        <v>10</v>
      </c>
      <c r="C86" s="3" t="s">
        <v>11</v>
      </c>
      <c r="D86" s="3" t="s">
        <v>2</v>
      </c>
      <c r="E86" s="3">
        <v>11</v>
      </c>
      <c r="F86" s="3">
        <v>1450</v>
      </c>
      <c r="G86" s="3">
        <f t="shared" si="2"/>
        <v>15950</v>
      </c>
      <c r="H86" s="3" t="str">
        <f t="shared" si="3"/>
        <v>Mar-2026</v>
      </c>
    </row>
    <row r="87" spans="1:8" x14ac:dyDescent="0.25">
      <c r="A87" s="2">
        <v>46108</v>
      </c>
      <c r="B87" s="3" t="s">
        <v>0</v>
      </c>
      <c r="C87" s="3" t="s">
        <v>1</v>
      </c>
      <c r="D87" s="3" t="s">
        <v>4</v>
      </c>
      <c r="E87" s="3">
        <v>1</v>
      </c>
      <c r="F87" s="3">
        <v>54000</v>
      </c>
      <c r="G87" s="3">
        <f t="shared" si="2"/>
        <v>54000</v>
      </c>
      <c r="H87" s="3" t="str">
        <f t="shared" si="3"/>
        <v>Mar-2026</v>
      </c>
    </row>
    <row r="88" spans="1:8" x14ac:dyDescent="0.25">
      <c r="A88" s="2">
        <v>46109</v>
      </c>
      <c r="B88" s="3" t="s">
        <v>3</v>
      </c>
      <c r="C88" s="3" t="s">
        <v>1</v>
      </c>
      <c r="D88" s="3" t="s">
        <v>7</v>
      </c>
      <c r="E88" s="3">
        <v>5</v>
      </c>
      <c r="F88" s="3">
        <v>20500</v>
      </c>
      <c r="G88" s="3">
        <f t="shared" si="2"/>
        <v>102500</v>
      </c>
      <c r="H88" s="3" t="str">
        <f t="shared" si="3"/>
        <v>Mar-2026</v>
      </c>
    </row>
    <row r="89" spans="1:8" x14ac:dyDescent="0.25">
      <c r="A89" s="2">
        <v>46110</v>
      </c>
      <c r="B89" s="3" t="s">
        <v>5</v>
      </c>
      <c r="C89" s="3" t="s">
        <v>6</v>
      </c>
      <c r="D89" s="3" t="s">
        <v>9</v>
      </c>
      <c r="E89" s="3">
        <v>6</v>
      </c>
      <c r="F89" s="3">
        <v>3000</v>
      </c>
      <c r="G89" s="3">
        <f t="shared" si="2"/>
        <v>18000</v>
      </c>
      <c r="H89" s="3" t="str">
        <f t="shared" si="3"/>
        <v>Mar-2026</v>
      </c>
    </row>
    <row r="90" spans="1:8" x14ac:dyDescent="0.25">
      <c r="A90" s="2">
        <v>46111</v>
      </c>
      <c r="B90" s="3" t="s">
        <v>8</v>
      </c>
      <c r="C90" s="3" t="s">
        <v>6</v>
      </c>
      <c r="D90" s="3" t="s">
        <v>2</v>
      </c>
      <c r="E90" s="3">
        <v>2</v>
      </c>
      <c r="F90" s="3">
        <v>7500</v>
      </c>
      <c r="G90" s="3">
        <f t="shared" si="2"/>
        <v>15000</v>
      </c>
      <c r="H90" s="3" t="str">
        <f t="shared" si="3"/>
        <v>Mar-2026</v>
      </c>
    </row>
    <row r="91" spans="1:8" x14ac:dyDescent="0.25">
      <c r="A91" s="2">
        <v>46112</v>
      </c>
      <c r="B91" s="3" t="s">
        <v>10</v>
      </c>
      <c r="C91" s="3" t="s">
        <v>11</v>
      </c>
      <c r="D91" s="3" t="s">
        <v>4</v>
      </c>
      <c r="E91" s="3">
        <v>8</v>
      </c>
      <c r="F91" s="3">
        <v>1550</v>
      </c>
      <c r="G91" s="3">
        <f t="shared" si="2"/>
        <v>12400</v>
      </c>
      <c r="H91" s="3" t="str">
        <f t="shared" si="3"/>
        <v>Mar-2026</v>
      </c>
    </row>
    <row r="92" spans="1:8" x14ac:dyDescent="0.25">
      <c r="A92" s="2">
        <v>46113</v>
      </c>
      <c r="B92" s="3" t="s">
        <v>0</v>
      </c>
      <c r="C92" s="3" t="s">
        <v>1</v>
      </c>
      <c r="D92" s="3" t="s">
        <v>7</v>
      </c>
      <c r="E92" s="3">
        <v>2</v>
      </c>
      <c r="F92" s="3">
        <v>52000</v>
      </c>
      <c r="G92" s="3">
        <f t="shared" si="2"/>
        <v>104000</v>
      </c>
      <c r="H92" s="3" t="str">
        <f t="shared" si="3"/>
        <v>Apr-2026</v>
      </c>
    </row>
    <row r="93" spans="1:8" x14ac:dyDescent="0.25">
      <c r="A93" s="2">
        <v>46114</v>
      </c>
      <c r="B93" s="3" t="s">
        <v>3</v>
      </c>
      <c r="C93" s="3" t="s">
        <v>1</v>
      </c>
      <c r="D93" s="3" t="s">
        <v>9</v>
      </c>
      <c r="E93" s="3">
        <v>4</v>
      </c>
      <c r="F93" s="3">
        <v>21500</v>
      </c>
      <c r="G93" s="3">
        <f t="shared" si="2"/>
        <v>86000</v>
      </c>
      <c r="H93" s="3" t="str">
        <f t="shared" si="3"/>
        <v>Apr-2026</v>
      </c>
    </row>
    <row r="94" spans="1:8" x14ac:dyDescent="0.25">
      <c r="A94" s="2">
        <v>46115</v>
      </c>
      <c r="B94" s="3" t="s">
        <v>5</v>
      </c>
      <c r="C94" s="3" t="s">
        <v>6</v>
      </c>
      <c r="D94" s="3" t="s">
        <v>2</v>
      </c>
      <c r="E94" s="3">
        <v>5</v>
      </c>
      <c r="F94" s="3">
        <v>3100</v>
      </c>
      <c r="G94" s="3">
        <f t="shared" si="2"/>
        <v>15500</v>
      </c>
      <c r="H94" s="3" t="str">
        <f t="shared" si="3"/>
        <v>Apr-2026</v>
      </c>
    </row>
    <row r="95" spans="1:8" x14ac:dyDescent="0.25">
      <c r="A95" s="2">
        <v>46116</v>
      </c>
      <c r="B95" s="3" t="s">
        <v>8</v>
      </c>
      <c r="C95" s="3" t="s">
        <v>6</v>
      </c>
      <c r="D95" s="3" t="s">
        <v>4</v>
      </c>
      <c r="E95" s="3">
        <v>3</v>
      </c>
      <c r="F95" s="3">
        <v>7200</v>
      </c>
      <c r="G95" s="3">
        <f t="shared" si="2"/>
        <v>21600</v>
      </c>
      <c r="H95" s="3" t="str">
        <f t="shared" si="3"/>
        <v>Apr-2026</v>
      </c>
    </row>
    <row r="96" spans="1:8" x14ac:dyDescent="0.25">
      <c r="A96" s="2">
        <v>46117</v>
      </c>
      <c r="B96" s="3" t="s">
        <v>10</v>
      </c>
      <c r="C96" s="3" t="s">
        <v>11</v>
      </c>
      <c r="D96" s="3" t="s">
        <v>7</v>
      </c>
      <c r="E96" s="3">
        <v>10</v>
      </c>
      <c r="F96" s="3">
        <v>1500</v>
      </c>
      <c r="G96" s="3">
        <f t="shared" si="2"/>
        <v>15000</v>
      </c>
      <c r="H96" s="3" t="str">
        <f t="shared" si="3"/>
        <v>Apr-2026</v>
      </c>
    </row>
    <row r="97" spans="1:8" x14ac:dyDescent="0.25">
      <c r="A97" s="2">
        <v>46118</v>
      </c>
      <c r="B97" s="3" t="s">
        <v>0</v>
      </c>
      <c r="C97" s="3" t="s">
        <v>1</v>
      </c>
      <c r="D97" s="3" t="s">
        <v>9</v>
      </c>
      <c r="E97" s="3">
        <v>1</v>
      </c>
      <c r="F97" s="3">
        <v>53500</v>
      </c>
      <c r="G97" s="3">
        <f t="shared" si="2"/>
        <v>53500</v>
      </c>
      <c r="H97" s="3" t="str">
        <f t="shared" si="3"/>
        <v>Apr-2026</v>
      </c>
    </row>
    <row r="98" spans="1:8" x14ac:dyDescent="0.25">
      <c r="A98" s="2">
        <v>46119</v>
      </c>
      <c r="B98" s="3" t="s">
        <v>3</v>
      </c>
      <c r="C98" s="3" t="s">
        <v>1</v>
      </c>
      <c r="D98" s="3" t="s">
        <v>2</v>
      </c>
      <c r="E98" s="3">
        <v>6</v>
      </c>
      <c r="F98" s="3">
        <v>20000</v>
      </c>
      <c r="G98" s="3">
        <f t="shared" si="2"/>
        <v>120000</v>
      </c>
      <c r="H98" s="3" t="str">
        <f t="shared" si="3"/>
        <v>Apr-2026</v>
      </c>
    </row>
    <row r="99" spans="1:8" x14ac:dyDescent="0.25">
      <c r="A99" s="2">
        <v>46120</v>
      </c>
      <c r="B99" s="3" t="s">
        <v>5</v>
      </c>
      <c r="C99" s="3" t="s">
        <v>6</v>
      </c>
      <c r="D99" s="3" t="s">
        <v>4</v>
      </c>
      <c r="E99" s="3">
        <v>4</v>
      </c>
      <c r="F99" s="3">
        <v>2950</v>
      </c>
      <c r="G99" s="3">
        <f t="shared" si="2"/>
        <v>11800</v>
      </c>
      <c r="H99" s="3" t="str">
        <f>TEXT(A99,"MMM-YYYY")</f>
        <v>Apr-2026</v>
      </c>
    </row>
    <row r="100" spans="1:8" x14ac:dyDescent="0.25">
      <c r="A100" s="2">
        <v>46121</v>
      </c>
      <c r="B100" s="3" t="s">
        <v>8</v>
      </c>
      <c r="C100" s="3" t="s">
        <v>6</v>
      </c>
      <c r="D100" s="3" t="s">
        <v>7</v>
      </c>
      <c r="E100" s="3">
        <v>5</v>
      </c>
      <c r="F100" s="3">
        <v>7300</v>
      </c>
      <c r="G100" s="3">
        <f t="shared" si="2"/>
        <v>36500</v>
      </c>
      <c r="H100" s="3" t="str">
        <f t="shared" si="3"/>
        <v>Apr-2026</v>
      </c>
    </row>
    <row r="101" spans="1:8" x14ac:dyDescent="0.25">
      <c r="A101" s="2">
        <v>46122</v>
      </c>
      <c r="B101" s="3" t="s">
        <v>10</v>
      </c>
      <c r="C101" s="3" t="s">
        <v>11</v>
      </c>
      <c r="D101" s="3" t="s">
        <v>9</v>
      </c>
      <c r="E101" s="3">
        <v>9</v>
      </c>
      <c r="F101" s="3">
        <v>1450</v>
      </c>
      <c r="G101" s="3">
        <f t="shared" si="2"/>
        <v>13050</v>
      </c>
      <c r="H101" s="3" t="str">
        <f t="shared" si="3"/>
        <v>Apr-2026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573D2-AE4B-4BB1-8F9B-A1ADE8FDDAA1}">
  <dimension ref="B1:J6"/>
  <sheetViews>
    <sheetView showGridLines="0" tabSelected="1" zoomScale="60" zoomScaleNormal="60" zoomScaleSheetLayoutView="70" zoomScalePageLayoutView="50" workbookViewId="0">
      <selection activeCell="X21" sqref="X21"/>
    </sheetView>
  </sheetViews>
  <sheetFormatPr defaultRowHeight="15" x14ac:dyDescent="0.25"/>
  <cols>
    <col min="2" max="2" width="9.28515625" customWidth="1"/>
  </cols>
  <sheetData>
    <row r="1" spans="2:10" ht="18.75" x14ac:dyDescent="0.3">
      <c r="B1" s="7" t="s">
        <v>27</v>
      </c>
      <c r="C1" s="7"/>
      <c r="D1" s="7"/>
      <c r="E1" s="7"/>
      <c r="G1" s="7" t="s">
        <v>29</v>
      </c>
      <c r="H1" s="7"/>
      <c r="I1" s="7"/>
      <c r="J1" s="7"/>
    </row>
    <row r="2" spans="2:10" ht="15" customHeight="1" x14ac:dyDescent="0.25">
      <c r="B2" s="9">
        <f>GETPIVOTDATA("Sales ",Pivot!$A$1)</f>
        <v>4611400</v>
      </c>
      <c r="C2" s="9"/>
      <c r="D2" s="9"/>
      <c r="E2" s="9"/>
      <c r="G2" s="8">
        <f>GETPIVOTDATA("Date",Pivot!$A$50)</f>
        <v>100</v>
      </c>
      <c r="H2" s="8"/>
      <c r="I2" s="8"/>
      <c r="J2" s="8"/>
    </row>
    <row r="3" spans="2:10" ht="15" customHeight="1" x14ac:dyDescent="0.25">
      <c r="B3" s="9"/>
      <c r="C3" s="9"/>
      <c r="D3" s="9"/>
      <c r="E3" s="9"/>
      <c r="G3" s="8"/>
      <c r="H3" s="8"/>
      <c r="I3" s="8"/>
      <c r="J3" s="8"/>
    </row>
    <row r="4" spans="2:10" ht="15" customHeight="1" x14ac:dyDescent="0.25">
      <c r="B4" s="9"/>
      <c r="C4" s="9"/>
      <c r="D4" s="9"/>
      <c r="E4" s="9"/>
      <c r="G4" s="8"/>
      <c r="H4" s="8"/>
      <c r="I4" s="8"/>
      <c r="J4" s="8"/>
    </row>
    <row r="5" spans="2:10" ht="15" customHeight="1" x14ac:dyDescent="0.25">
      <c r="B5" s="9"/>
      <c r="C5" s="9"/>
      <c r="D5" s="9"/>
      <c r="E5" s="9"/>
      <c r="G5" s="8"/>
      <c r="H5" s="8"/>
      <c r="I5" s="8"/>
      <c r="J5" s="8"/>
    </row>
    <row r="6" spans="2:10" ht="15" customHeight="1" x14ac:dyDescent="0.25">
      <c r="B6" s="6"/>
      <c r="C6" s="6"/>
      <c r="D6" s="6"/>
      <c r="E6" s="6"/>
    </row>
  </sheetData>
  <mergeCells count="4">
    <mergeCell ref="B1:E1"/>
    <mergeCell ref="G2:J5"/>
    <mergeCell ref="B2:E5"/>
    <mergeCell ref="G1:J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Sales_Data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ANNU PRIYA</dc:creator>
  <cp:lastModifiedBy>ANNU PRIYA</cp:lastModifiedBy>
  <dcterms:created xsi:type="dcterms:W3CDTF">2026-06-19T18:30:36Z</dcterms:created>
  <dcterms:modified xsi:type="dcterms:W3CDTF">2026-06-19T20:34:19Z</dcterms:modified>
</cp:coreProperties>
</file>